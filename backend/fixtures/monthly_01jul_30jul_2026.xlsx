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Wellness\Downloads\"/>
    </mc:Choice>
  </mc:AlternateContent>
  <xr:revisionPtr revIDLastSave="0" documentId="13_ncr:1_{E3A144DA-065C-4C2D-88D2-D2C4DAE10E89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16" i="1" s="1"/>
  <c r="E10" i="1"/>
  <c r="E16" i="1" s="1"/>
  <c r="F10" i="1"/>
  <c r="F16" i="1" s="1"/>
  <c r="G10" i="1"/>
  <c r="G16" i="1" s="1"/>
  <c r="H10" i="1"/>
  <c r="H16" i="1" s="1"/>
  <c r="I10" i="1"/>
  <c r="I16" i="1" s="1"/>
  <c r="J10" i="1"/>
  <c r="J16" i="1" s="1"/>
  <c r="K10" i="1"/>
  <c r="K16" i="1" s="1"/>
  <c r="L10" i="1"/>
  <c r="L16" i="1" s="1"/>
  <c r="M10" i="1"/>
  <c r="M16" i="1" s="1"/>
  <c r="N10" i="1"/>
  <c r="N16" i="1" s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H20" i="1"/>
  <c r="M20" i="1"/>
  <c r="R20" i="1"/>
  <c r="W20" i="1"/>
  <c r="AB20" i="1"/>
  <c r="AF15" i="1"/>
  <c r="AK15" i="1"/>
  <c r="AL14" i="1"/>
  <c r="AK14" i="1"/>
  <c r="AJ14" i="1"/>
  <c r="AI14" i="1"/>
  <c r="AH14" i="1"/>
  <c r="AL13" i="1"/>
  <c r="AK13" i="1"/>
  <c r="AJ13" i="1"/>
  <c r="AI13" i="1"/>
  <c r="AH13" i="1"/>
  <c r="AL12" i="1"/>
  <c r="AK12" i="1"/>
  <c r="AJ12" i="1"/>
  <c r="AI12" i="1"/>
  <c r="AH12" i="1"/>
  <c r="AL11" i="1"/>
  <c r="AK11" i="1"/>
  <c r="AJ11" i="1"/>
  <c r="AI11" i="1"/>
  <c r="AH11" i="1"/>
  <c r="AF10" i="1"/>
  <c r="AF16" i="1" s="1"/>
  <c r="AL9" i="1"/>
  <c r="AK9" i="1"/>
  <c r="AJ9" i="1"/>
  <c r="AI9" i="1"/>
  <c r="AH9" i="1"/>
  <c r="AL8" i="1"/>
  <c r="AK8" i="1"/>
  <c r="AJ8" i="1"/>
  <c r="AI8" i="1"/>
  <c r="AH8" i="1"/>
  <c r="AL7" i="1"/>
  <c r="AK7" i="1"/>
  <c r="AJ7" i="1"/>
  <c r="AI7" i="1"/>
  <c r="AH7" i="1"/>
  <c r="AL6" i="1"/>
  <c r="AK6" i="1"/>
  <c r="AJ6" i="1"/>
  <c r="AI6" i="1"/>
  <c r="AH6" i="1"/>
  <c r="AJ15" i="1" l="1"/>
  <c r="AL15" i="1"/>
  <c r="AI15" i="1"/>
  <c r="AH15" i="1"/>
  <c r="AI10" i="1"/>
  <c r="AK10" i="1"/>
  <c r="AJ10" i="1"/>
  <c r="AH10" i="1"/>
  <c r="AL10" i="1"/>
  <c r="AI16" i="1" l="1"/>
  <c r="AL16" i="1"/>
  <c r="AH16" i="1"/>
  <c r="AK16" i="1"/>
  <c r="AJ16" i="1"/>
</calcChain>
</file>

<file path=xl/sharedStrings.xml><?xml version="1.0" encoding="utf-8"?>
<sst xmlns="http://schemas.openxmlformats.org/spreadsheetml/2006/main" count="92" uniqueCount="60">
  <si>
    <t>Monthly Wellness Report From 01st to 30th July 2026</t>
  </si>
  <si>
    <t>Verification reference</t>
  </si>
  <si>
    <t>VERTICALS 
NEW / FOLLOW UP</t>
  </si>
  <si>
    <t>Total Cases</t>
  </si>
  <si>
    <t>Gender</t>
  </si>
  <si>
    <t>Mode of Session</t>
  </si>
  <si>
    <t>Referral type</t>
  </si>
  <si>
    <t xml:space="preserve">Range of concern addressed </t>
  </si>
  <si>
    <t>Stakeholder</t>
  </si>
  <si>
    <t>Session</t>
  </si>
  <si>
    <t>Referral</t>
  </si>
  <si>
    <t>Concern</t>
  </si>
  <si>
    <t>Male</t>
  </si>
  <si>
    <t>Female</t>
  </si>
  <si>
    <t>Others/
Not to say</t>
  </si>
  <si>
    <t>Online</t>
  </si>
  <si>
    <t>In person</t>
  </si>
  <si>
    <t>Phone</t>
  </si>
  <si>
    <t>Self</t>
  </si>
  <si>
    <t>Director/
Kushal Calls</t>
  </si>
  <si>
    <t>Dean/HoD/
Faculty / Insti Hosp</t>
  </si>
  <si>
    <t>Friened/
Family</t>
  </si>
  <si>
    <t>Mitr/Saathi</t>
  </si>
  <si>
    <t>Anxiety/
Depresn/
Panic / OCD</t>
  </si>
  <si>
    <t>Acute
 Stress / Trauma</t>
  </si>
  <si>
    <t>Career /
 Acad,</t>
  </si>
  <si>
    <t>Inter-
personal</t>
  </si>
  <si>
    <t>Self-
Devlp</t>
  </si>
  <si>
    <t>Clinical</t>
  </si>
  <si>
    <t>Addiction</t>
  </si>
  <si>
    <t>Medical /
 Health issues</t>
  </si>
  <si>
    <t>Suicidal Ideation
 / Self-harm</t>
  </si>
  <si>
    <t>UG</t>
  </si>
  <si>
    <t>PG</t>
  </si>
  <si>
    <t>Ph.D</t>
  </si>
  <si>
    <t>Dual Degree</t>
  </si>
  <si>
    <t>IIT Faculty / Staff</t>
  </si>
  <si>
    <t>Employee Family</t>
  </si>
  <si>
    <t>Post Doc
Proj Asso</t>
  </si>
  <si>
    <t>Not Able to Identify</t>
  </si>
  <si>
    <t>No. of New Cases</t>
  </si>
  <si>
    <t>WLN Ctr</t>
  </si>
  <si>
    <t>Team A</t>
  </si>
  <si>
    <t>Your Dost</t>
  </si>
  <si>
    <t>Myndwell</t>
  </si>
  <si>
    <r>
      <t xml:space="preserve">Total no. of cases                  </t>
    </r>
    <r>
      <rPr>
        <b/>
        <sz val="22"/>
        <color theme="0"/>
        <rFont val="Calibri"/>
        <family val="2"/>
        <scheme val="minor"/>
      </rPr>
      <t xml:space="preserve">NEW </t>
    </r>
  </si>
  <si>
    <t>No. of Follow-up cases</t>
  </si>
  <si>
    <r>
      <t xml:space="preserve">Total no. of cases              </t>
    </r>
    <r>
      <rPr>
        <b/>
        <sz val="22"/>
        <color theme="0"/>
        <rFont val="Calibri"/>
        <family val="2"/>
        <scheme val="minor"/>
      </rPr>
      <t>FOLLOW-UP</t>
    </r>
  </si>
  <si>
    <t>Grand Total</t>
  </si>
  <si>
    <t>Unrecognised</t>
  </si>
  <si>
    <t>Total no. of sessions</t>
  </si>
  <si>
    <t>Early Prevention warning</t>
  </si>
  <si>
    <t>No. of cases which did not turn-up even when it was advised</t>
  </si>
  <si>
    <t>As of date no. of active cases</t>
  </si>
  <si>
    <t>Clients undergoing more than 4 sessions in a month</t>
  </si>
  <si>
    <t>Mode of enquiries</t>
  </si>
  <si>
    <t>Total</t>
  </si>
  <si>
    <t>Thro Mail</t>
  </si>
  <si>
    <t>Thro Calls
Recd.</t>
  </si>
  <si>
    <t>Thro
Calls
Outgoing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</si>
</sst>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5"/>
      <color theme="1"/>
      <name val="Segoe UI Variable Small Semibol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3333FF"/>
      <name val="Calibri"/>
      <family val="2"/>
      <scheme val="minor"/>
    </font>
    <font>
      <b/>
      <sz val="22"/>
      <color rgb="FF3333FF"/>
      <name val="Calibri"/>
      <family val="2"/>
      <scheme val="minor"/>
    </font>
    <font>
      <b/>
      <sz val="22"/>
      <color rgb="FF0000FF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22"/>
      <color rgb="FFC00000"/>
      <name val="Calibri"/>
      <family val="2"/>
      <scheme val="minor"/>
    </font>
    <font>
      <b/>
      <sz val="18"/>
      <color rgb="FFFF2121"/>
      <name val="Calibri"/>
      <family val="2"/>
      <scheme val="minor"/>
    </font>
    <font>
      <b/>
      <sz val="22"/>
      <color rgb="FF3333FF"/>
      <name val="Calibri"/>
      <family val="2"/>
    </font>
    <font>
      <b/>
      <sz val="22"/>
      <color rgb="FFFF0000"/>
      <name val="Calibri"/>
      <family val="2"/>
    </font>
    <font>
      <b/>
      <sz val="18"/>
      <color rgb="FF9900CC"/>
      <name val="Calibri"/>
      <family val="2"/>
      <scheme val="minor"/>
    </font>
    <font>
      <b/>
      <sz val="22"/>
      <color rgb="FF7030A0"/>
      <name val="Calibri"/>
      <family val="2"/>
    </font>
    <font>
      <b/>
      <sz val="22"/>
      <color rgb="FF7030A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rgb="FF9900CC"/>
      <name val="Calibri"/>
      <family val="2"/>
    </font>
    <font>
      <b/>
      <sz val="22"/>
      <color theme="1"/>
      <name val="Calibri"/>
      <family val="2"/>
    </font>
    <font>
      <b/>
      <sz val="24"/>
      <color theme="1"/>
      <name val="Calibri"/>
      <family val="2"/>
    </font>
    <font>
      <b/>
      <sz val="20"/>
      <color rgb="FFFF2121"/>
      <name val="Calibri"/>
      <family val="2"/>
      <scheme val="minor"/>
    </font>
    <font>
      <b/>
      <sz val="20"/>
      <color rgb="FF001E7E"/>
      <name val="Calibri"/>
      <family val="2"/>
      <scheme val="minor"/>
    </font>
    <font>
      <b/>
      <sz val="20"/>
      <color rgb="FF3333FF"/>
      <name val="Calibri"/>
      <family val="2"/>
      <scheme val="minor"/>
    </font>
    <font>
      <b/>
      <sz val="20"/>
      <color theme="1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BD4B4"/>
        <bgColor rgb="FFFBD4B4"/>
      </patternFill>
    </fill>
    <fill>
      <patternFill patternType="solid">
        <fgColor rgb="FFDBE5F1"/>
        <bgColor rgb="FFDBE5F1"/>
      </patternFill>
    </fill>
    <fill>
      <patternFill patternType="solid">
        <fgColor rgb="FFEEECE1"/>
        <bgColor rgb="FFEEECE1"/>
      </patternFill>
    </fill>
    <fill>
      <patternFill patternType="solid">
        <fgColor rgb="FFE5DFEC"/>
        <bgColor rgb="FFE5DFEC"/>
      </patternFill>
    </fill>
    <fill>
      <patternFill patternType="solid">
        <fgColor rgb="FFFDE9D9"/>
        <bgColor rgb="FFFDE9D9"/>
      </patternFill>
    </fill>
    <fill>
      <patternFill patternType="solid">
        <fgColor rgb="FFF2F2F2"/>
        <bgColor rgb="FFF2F2F2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rgb="FFFBD4B4"/>
      </patternFill>
    </fill>
    <fill>
      <patternFill patternType="solid">
        <fgColor theme="9" tint="0.39997558519241921"/>
        <bgColor rgb="FFE5DFEC"/>
      </patternFill>
    </fill>
    <fill>
      <patternFill patternType="solid">
        <fgColor theme="9" tint="0.39997558519241921"/>
        <bgColor rgb="FFFDE9D9"/>
      </patternFill>
    </fill>
    <fill>
      <patternFill patternType="solid">
        <fgColor theme="9" tint="0.39997558519241921"/>
        <bgColor rgb="FFF2F2F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FBD4B4"/>
      </patternFill>
    </fill>
    <fill>
      <patternFill patternType="solid">
        <fgColor rgb="FFFFFFE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EB"/>
        <bgColor rgb="FFFFFFEB"/>
      </patternFill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0" fillId="0" borderId="0" xfId="0" applyAlignment="1" applyProtection="1">
      <alignment wrapText="1"/>
      <protection locked="0"/>
    </xf>
    <xf numFmtId="0" fontId="0" fillId="0" borderId="0" xfId="0" applyProtection="1"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6" borderId="4" xfId="0" applyFont="1" applyFill="1" applyBorder="1" applyAlignment="1" applyProtection="1">
      <alignment horizontal="center" vertical="center"/>
      <protection locked="0"/>
    </xf>
    <xf numFmtId="0" fontId="3" fillId="7" borderId="4" xfId="0" applyFont="1" applyFill="1" applyBorder="1" applyAlignment="1" applyProtection="1">
      <alignment horizontal="center" vertical="center"/>
      <protection locked="0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3" borderId="4" xfId="0" applyFont="1" applyFill="1" applyBorder="1" applyAlignment="1" applyProtection="1">
      <alignment horizontal="center" textRotation="90" wrapText="1"/>
      <protection locked="0"/>
    </xf>
    <xf numFmtId="0" fontId="3" fillId="4" borderId="4" xfId="0" applyFont="1" applyFill="1" applyBorder="1" applyAlignment="1" applyProtection="1">
      <alignment horizontal="center" textRotation="90" wrapText="1"/>
      <protection locked="0"/>
    </xf>
    <xf numFmtId="0" fontId="3" fillId="5" borderId="4" xfId="0" applyFont="1" applyFill="1" applyBorder="1" applyAlignment="1" applyProtection="1">
      <alignment horizontal="center" textRotation="90" wrapText="1"/>
      <protection locked="0"/>
    </xf>
    <xf numFmtId="0" fontId="3" fillId="6" borderId="4" xfId="0" applyFont="1" applyFill="1" applyBorder="1" applyAlignment="1" applyProtection="1">
      <alignment horizontal="center" textRotation="90" wrapText="1"/>
      <protection locked="0"/>
    </xf>
    <xf numFmtId="0" fontId="3" fillId="7" borderId="4" xfId="0" applyFont="1" applyFill="1" applyBorder="1" applyAlignment="1" applyProtection="1">
      <alignment horizontal="center" vertical="center" textRotation="90" wrapText="1"/>
      <protection locked="0"/>
    </xf>
    <xf numFmtId="0" fontId="4" fillId="0" borderId="4" xfId="0" applyFont="1" applyBorder="1" applyAlignment="1">
      <alignment horizontal="center" textRotation="90" wrapText="1"/>
    </xf>
    <xf numFmtId="0" fontId="4" fillId="0" borderId="4" xfId="0" applyFont="1" applyBorder="1" applyAlignment="1">
      <alignment horizontal="center" vertical="center" textRotation="90" wrapText="1"/>
    </xf>
    <xf numFmtId="0" fontId="6" fillId="8" borderId="4" xfId="0" applyFont="1" applyFill="1" applyBorder="1" applyAlignment="1" applyProtection="1">
      <alignment vertical="center"/>
      <protection locked="0"/>
    </xf>
    <xf numFmtId="0" fontId="7" fillId="2" borderId="4" xfId="0" applyFont="1" applyFill="1" applyBorder="1" applyAlignment="1" applyProtection="1">
      <alignment horizontal="center" vertical="center"/>
      <protection locked="0"/>
    </xf>
    <xf numFmtId="0" fontId="8" fillId="3" borderId="4" xfId="0" applyFont="1" applyFill="1" applyBorder="1" applyAlignment="1" applyProtection="1">
      <alignment horizontal="center" vertical="center"/>
      <protection locked="0"/>
    </xf>
    <xf numFmtId="0" fontId="7" fillId="3" borderId="4" xfId="0" applyFont="1" applyFill="1" applyBorder="1" applyAlignment="1" applyProtection="1">
      <alignment horizontal="center" vertical="center" wrapText="1"/>
      <protection locked="0"/>
    </xf>
    <xf numFmtId="0" fontId="7" fillId="3" borderId="4" xfId="0" applyFont="1" applyFill="1" applyBorder="1" applyAlignment="1" applyProtection="1">
      <alignment horizontal="center" vertical="center"/>
      <protection locked="0"/>
    </xf>
    <xf numFmtId="0" fontId="8" fillId="4" borderId="4" xfId="0" applyFont="1" applyFill="1" applyBorder="1" applyAlignment="1" applyProtection="1">
      <alignment horizontal="center" vertical="center"/>
      <protection locked="0"/>
    </xf>
    <xf numFmtId="0" fontId="8" fillId="5" borderId="4" xfId="0" applyFont="1" applyFill="1" applyBorder="1" applyAlignment="1" applyProtection="1">
      <alignment horizontal="center" vertical="center"/>
      <protection locked="0"/>
    </xf>
    <xf numFmtId="0" fontId="8" fillId="6" borderId="4" xfId="0" applyFont="1" applyFill="1" applyBorder="1" applyAlignment="1" applyProtection="1">
      <alignment horizontal="center" vertical="center"/>
      <protection locked="0"/>
    </xf>
    <xf numFmtId="0" fontId="8" fillId="7" borderId="4" xfId="0" applyFont="1" applyFill="1" applyBorder="1" applyAlignment="1" applyProtection="1">
      <alignment horizontal="center" vertical="center"/>
      <protection locked="0"/>
    </xf>
    <xf numFmtId="0" fontId="9" fillId="7" borderId="4" xfId="0" applyFont="1" applyFill="1" applyBorder="1" applyAlignment="1" applyProtection="1">
      <alignment horizontal="center" vertical="center" wrapText="1"/>
      <protection locked="0"/>
    </xf>
    <xf numFmtId="0" fontId="10" fillId="8" borderId="4" xfId="0" applyFont="1" applyFill="1" applyBorder="1" applyAlignment="1">
      <alignment horizontal="center" vertical="center"/>
    </xf>
    <xf numFmtId="0" fontId="11" fillId="8" borderId="4" xfId="0" applyFont="1" applyFill="1" applyBorder="1" applyAlignment="1" applyProtection="1">
      <alignment vertical="center"/>
      <protection locked="0"/>
    </xf>
    <xf numFmtId="0" fontId="12" fillId="3" borderId="4" xfId="0" applyFont="1" applyFill="1" applyBorder="1" applyAlignment="1" applyProtection="1">
      <alignment horizontal="center" vertical="center"/>
      <protection locked="0"/>
    </xf>
    <xf numFmtId="0" fontId="12" fillId="3" borderId="4" xfId="0" applyFont="1" applyFill="1" applyBorder="1" applyAlignment="1" applyProtection="1">
      <alignment horizontal="center" vertical="center" wrapText="1"/>
      <protection locked="0"/>
    </xf>
    <xf numFmtId="0" fontId="12" fillId="4" borderId="4" xfId="0" applyFont="1" applyFill="1" applyBorder="1" applyAlignment="1" applyProtection="1">
      <alignment horizontal="center" vertical="center"/>
      <protection locked="0"/>
    </xf>
    <xf numFmtId="0" fontId="12" fillId="5" borderId="4" xfId="0" applyFont="1" applyFill="1" applyBorder="1" applyAlignment="1" applyProtection="1">
      <alignment horizontal="center" vertical="center"/>
      <protection locked="0"/>
    </xf>
    <xf numFmtId="0" fontId="12" fillId="6" borderId="4" xfId="0" applyFont="1" applyFill="1" applyBorder="1" applyAlignment="1" applyProtection="1">
      <alignment horizontal="center" vertical="center"/>
      <protection locked="0"/>
    </xf>
    <xf numFmtId="0" fontId="12" fillId="7" borderId="4" xfId="0" applyFont="1" applyFill="1" applyBorder="1" applyAlignment="1" applyProtection="1">
      <alignment horizontal="center" vertical="center"/>
      <protection locked="0"/>
    </xf>
    <xf numFmtId="0" fontId="12" fillId="7" borderId="4" xfId="0" applyFont="1" applyFill="1" applyBorder="1" applyAlignment="1" applyProtection="1">
      <alignment horizontal="center" vertical="center" wrapText="1"/>
      <protection locked="0"/>
    </xf>
    <xf numFmtId="0" fontId="13" fillId="8" borderId="4" xfId="0" applyFont="1" applyFill="1" applyBorder="1" applyAlignment="1" applyProtection="1">
      <alignment vertical="center"/>
      <protection locked="0"/>
    </xf>
    <xf numFmtId="0" fontId="14" fillId="9" borderId="4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horizontal="center" vertical="center"/>
    </xf>
    <xf numFmtId="0" fontId="15" fillId="12" borderId="4" xfId="0" applyFont="1" applyFill="1" applyBorder="1" applyAlignment="1">
      <alignment horizontal="center" vertical="center"/>
    </xf>
    <xf numFmtId="0" fontId="15" fillId="13" borderId="4" xfId="0" applyFont="1" applyFill="1" applyBorder="1" applyAlignment="1">
      <alignment horizontal="center" vertical="center"/>
    </xf>
    <xf numFmtId="0" fontId="15" fillId="14" borderId="4" xfId="0" applyFont="1" applyFill="1" applyBorder="1" applyAlignment="1">
      <alignment horizontal="center" vertical="center"/>
    </xf>
    <xf numFmtId="0" fontId="16" fillId="8" borderId="4" xfId="0" applyFont="1" applyFill="1" applyBorder="1" applyAlignment="1" applyProtection="1">
      <alignment vertical="center"/>
      <protection locked="0"/>
    </xf>
    <xf numFmtId="0" fontId="17" fillId="9" borderId="4" xfId="0" applyFont="1" applyFill="1" applyBorder="1" applyAlignment="1">
      <alignment horizontal="center" vertical="center"/>
    </xf>
    <xf numFmtId="0" fontId="17" fillId="10" borderId="4" xfId="0" applyFont="1" applyFill="1" applyBorder="1" applyAlignment="1">
      <alignment horizontal="center" vertical="center"/>
    </xf>
    <xf numFmtId="0" fontId="17" fillId="11" borderId="4" xfId="0" applyFont="1" applyFill="1" applyBorder="1" applyAlignment="1">
      <alignment horizontal="center" vertical="center"/>
    </xf>
    <xf numFmtId="0" fontId="17" fillId="12" borderId="4" xfId="0" applyFont="1" applyFill="1" applyBorder="1" applyAlignment="1">
      <alignment horizontal="center" vertical="center"/>
    </xf>
    <xf numFmtId="0" fontId="17" fillId="13" borderId="4" xfId="0" applyFont="1" applyFill="1" applyBorder="1" applyAlignment="1">
      <alignment horizontal="center"/>
    </xf>
    <xf numFmtId="0" fontId="17" fillId="14" borderId="4" xfId="0" applyFont="1" applyFill="1" applyBorder="1" applyAlignment="1">
      <alignment horizontal="center"/>
    </xf>
    <xf numFmtId="0" fontId="18" fillId="7" borderId="4" xfId="0" applyFont="1" applyFill="1" applyBorder="1" applyAlignment="1" applyProtection="1">
      <alignment horizontal="center" vertical="center" wrapText="1"/>
      <protection locked="0"/>
    </xf>
    <xf numFmtId="0" fontId="21" fillId="16" borderId="4" xfId="0" applyFont="1" applyFill="1" applyBorder="1" applyAlignment="1" applyProtection="1">
      <alignment horizontal="center" vertical="center"/>
      <protection locked="0"/>
    </xf>
    <xf numFmtId="0" fontId="21" fillId="16" borderId="4" xfId="0" applyFont="1" applyFill="1" applyBorder="1" applyAlignment="1" applyProtection="1">
      <alignment horizontal="center" vertical="center" wrapText="1"/>
      <protection locked="0"/>
    </xf>
    <xf numFmtId="0" fontId="22" fillId="10" borderId="4" xfId="0" applyFont="1" applyFill="1" applyBorder="1" applyAlignment="1">
      <alignment horizontal="center" vertical="center"/>
    </xf>
    <xf numFmtId="0" fontId="22" fillId="11" borderId="4" xfId="0" applyFont="1" applyFill="1" applyBorder="1" applyAlignment="1">
      <alignment horizontal="center" vertical="center"/>
    </xf>
    <xf numFmtId="0" fontId="22" fillId="12" borderId="4" xfId="0" applyFont="1" applyFill="1" applyBorder="1" applyAlignment="1">
      <alignment horizontal="center" vertical="center"/>
    </xf>
    <xf numFmtId="0" fontId="23" fillId="13" borderId="4" xfId="0" applyFont="1" applyFill="1" applyBorder="1" applyAlignment="1">
      <alignment horizontal="center" vertical="center"/>
    </xf>
    <xf numFmtId="0" fontId="23" fillId="14" borderId="4" xfId="0" applyFont="1" applyFill="1" applyBorder="1" applyAlignment="1">
      <alignment horizontal="center" vertical="center"/>
    </xf>
    <xf numFmtId="0" fontId="24" fillId="18" borderId="4" xfId="0" applyFont="1" applyFill="1" applyBorder="1" applyAlignment="1">
      <alignment horizontal="center" vertical="center"/>
    </xf>
    <xf numFmtId="0" fontId="24" fillId="19" borderId="4" xfId="0" applyFont="1" applyFill="1" applyBorder="1" applyAlignment="1">
      <alignment horizontal="center" vertical="center"/>
    </xf>
    <xf numFmtId="0" fontId="24" fillId="20" borderId="4" xfId="0" applyFont="1" applyFill="1" applyBorder="1" applyAlignment="1">
      <alignment horizontal="center" vertical="center"/>
    </xf>
    <xf numFmtId="0" fontId="24" fillId="21" borderId="4" xfId="0" applyFont="1" applyFill="1" applyBorder="1" applyAlignment="1">
      <alignment horizontal="center" vertical="center"/>
    </xf>
    <xf numFmtId="0" fontId="24" fillId="23" borderId="4" xfId="0" applyFont="1" applyFill="1" applyBorder="1" applyAlignment="1">
      <alignment horizontal="center" vertical="center"/>
    </xf>
    <xf numFmtId="0" fontId="0" fillId="8" borderId="0" xfId="0" applyFill="1"/>
    <xf numFmtId="0" fontId="0" fillId="0" borderId="4" xfId="0" applyBorder="1" applyProtection="1">
      <protection locked="0"/>
    </xf>
    <xf numFmtId="0" fontId="0" fillId="0" borderId="4" xfId="0" applyBorder="1" applyAlignment="1" applyProtection="1">
      <alignment wrapText="1"/>
      <protection locked="0"/>
    </xf>
    <xf numFmtId="0" fontId="0" fillId="0" borderId="4" xfId="0" applyBorder="1" applyAlignment="1" applyProtection="1">
      <alignment horizontal="center" textRotation="90"/>
      <protection locked="0"/>
    </xf>
    <xf numFmtId="0" fontId="0" fillId="0" borderId="0" xfId="0" applyAlignment="1" applyProtection="1">
      <alignment vertical="center"/>
      <protection locked="0"/>
    </xf>
    <xf numFmtId="0" fontId="25" fillId="5" borderId="4" xfId="0" applyFont="1" applyFill="1" applyBorder="1" applyAlignment="1" applyProtection="1">
      <alignment horizontal="center" vertical="center" textRotation="90"/>
      <protection locked="0"/>
    </xf>
    <xf numFmtId="0" fontId="26" fillId="5" borderId="4" xfId="0" applyFont="1" applyFill="1" applyBorder="1" applyAlignment="1" applyProtection="1">
      <alignment horizontal="center" vertical="center" textRotation="90"/>
      <protection locked="0"/>
    </xf>
    <xf numFmtId="0" fontId="27" fillId="24" borderId="4" xfId="0" applyFont="1" applyFill="1" applyBorder="1" applyAlignment="1" applyProtection="1">
      <alignment horizontal="center" vertical="center" textRotation="90"/>
      <protection locked="0"/>
    </xf>
    <xf numFmtId="0" fontId="5" fillId="24" borderId="4" xfId="0" applyFont="1" applyFill="1" applyBorder="1" applyAlignment="1" applyProtection="1">
      <alignment horizontal="center" vertical="center" textRotation="90"/>
      <protection locked="0"/>
    </xf>
    <xf numFmtId="0" fontId="25" fillId="24" borderId="4" xfId="0" applyFont="1" applyFill="1" applyBorder="1" applyAlignment="1" applyProtection="1">
      <alignment horizontal="center" vertical="center" textRotation="90"/>
      <protection locked="0"/>
    </xf>
    <xf numFmtId="0" fontId="26" fillId="24" borderId="4" xfId="0" applyFont="1" applyFill="1" applyBorder="1" applyAlignment="1" applyProtection="1">
      <alignment horizontal="center" vertical="center" textRotation="90"/>
      <protection locked="0"/>
    </xf>
    <xf numFmtId="0" fontId="3" fillId="24" borderId="4" xfId="0" applyFont="1" applyFill="1" applyBorder="1" applyAlignment="1" applyProtection="1">
      <alignment horizontal="center" vertical="center" textRotation="90"/>
      <protection locked="0"/>
    </xf>
    <xf numFmtId="0" fontId="27" fillId="7" borderId="4" xfId="0" applyFont="1" applyFill="1" applyBorder="1" applyAlignment="1" applyProtection="1">
      <alignment horizontal="center" vertical="center" textRotation="90"/>
      <protection locked="0"/>
    </xf>
    <xf numFmtId="0" fontId="5" fillId="7" borderId="4" xfId="0" applyFont="1" applyFill="1" applyBorder="1" applyAlignment="1" applyProtection="1">
      <alignment horizontal="center" vertical="center" textRotation="90"/>
      <protection locked="0"/>
    </xf>
    <xf numFmtId="0" fontId="25" fillId="7" borderId="4" xfId="0" applyFont="1" applyFill="1" applyBorder="1" applyAlignment="1" applyProtection="1">
      <alignment horizontal="center" vertical="center" textRotation="90"/>
      <protection locked="0"/>
    </xf>
    <xf numFmtId="0" fontId="26" fillId="7" borderId="4" xfId="0" applyFont="1" applyFill="1" applyBorder="1" applyAlignment="1" applyProtection="1">
      <alignment horizontal="center" vertical="center" textRotation="90"/>
      <protection locked="0"/>
    </xf>
    <xf numFmtId="0" fontId="3" fillId="7" borderId="4" xfId="0" applyFont="1" applyFill="1" applyBorder="1" applyAlignment="1" applyProtection="1">
      <alignment horizontal="center" vertical="center" textRotation="90"/>
      <protection locked="0"/>
    </xf>
    <xf numFmtId="0" fontId="27" fillId="25" borderId="4" xfId="0" applyFont="1" applyFill="1" applyBorder="1" applyAlignment="1" applyProtection="1">
      <alignment horizontal="center" vertical="center" textRotation="90"/>
      <protection locked="0"/>
    </xf>
    <xf numFmtId="0" fontId="5" fillId="25" borderId="4" xfId="0" applyFont="1" applyFill="1" applyBorder="1" applyAlignment="1" applyProtection="1">
      <alignment horizontal="center" vertical="center" textRotation="90"/>
      <protection locked="0"/>
    </xf>
    <xf numFmtId="0" fontId="25" fillId="25" borderId="4" xfId="0" applyFont="1" applyFill="1" applyBorder="1" applyAlignment="1" applyProtection="1">
      <alignment horizontal="center" vertical="center" textRotation="90"/>
      <protection locked="0"/>
    </xf>
    <xf numFmtId="0" fontId="26" fillId="25" borderId="4" xfId="0" applyFont="1" applyFill="1" applyBorder="1" applyAlignment="1" applyProtection="1">
      <alignment horizontal="center" vertical="center" textRotation="90"/>
      <protection locked="0"/>
    </xf>
    <xf numFmtId="0" fontId="3" fillId="25" borderId="4" xfId="0" applyFont="1" applyFill="1" applyBorder="1" applyAlignment="1" applyProtection="1">
      <alignment horizontal="center" vertical="center" textRotation="90"/>
      <protection locked="0"/>
    </xf>
    <xf numFmtId="0" fontId="27" fillId="26" borderId="4" xfId="0" applyFont="1" applyFill="1" applyBorder="1" applyAlignment="1" applyProtection="1">
      <alignment horizontal="center" vertical="center" textRotation="90"/>
      <protection locked="0"/>
    </xf>
    <xf numFmtId="0" fontId="5" fillId="26" borderId="4" xfId="0" applyFont="1" applyFill="1" applyBorder="1" applyAlignment="1" applyProtection="1">
      <alignment horizontal="center" vertical="center" textRotation="90"/>
      <protection locked="0"/>
    </xf>
    <xf numFmtId="0" fontId="25" fillId="26" borderId="4" xfId="0" applyFont="1" applyFill="1" applyBorder="1" applyAlignment="1" applyProtection="1">
      <alignment horizontal="center" vertical="center" textRotation="90"/>
      <protection locked="0"/>
    </xf>
    <xf numFmtId="0" fontId="26" fillId="26" borderId="4" xfId="0" applyFont="1" applyFill="1" applyBorder="1" applyAlignment="1" applyProtection="1">
      <alignment horizontal="center" vertical="center" textRotation="90"/>
      <protection locked="0"/>
    </xf>
    <xf numFmtId="0" fontId="3" fillId="26" borderId="4" xfId="0" applyFont="1" applyFill="1" applyBorder="1" applyAlignment="1" applyProtection="1">
      <alignment horizontal="center" vertical="center" textRotation="90"/>
      <protection locked="0"/>
    </xf>
    <xf numFmtId="0" fontId="27" fillId="6" borderId="4" xfId="0" applyFont="1" applyFill="1" applyBorder="1" applyAlignment="1" applyProtection="1">
      <alignment horizontal="center" vertical="center" textRotation="90"/>
      <protection locked="0"/>
    </xf>
    <xf numFmtId="0" fontId="5" fillId="6" borderId="4" xfId="0" applyFont="1" applyFill="1" applyBorder="1" applyAlignment="1" applyProtection="1">
      <alignment horizontal="center" vertical="center" textRotation="90"/>
      <protection locked="0"/>
    </xf>
    <xf numFmtId="0" fontId="25" fillId="6" borderId="4" xfId="0" applyFont="1" applyFill="1" applyBorder="1" applyAlignment="1" applyProtection="1">
      <alignment horizontal="center" vertical="center" textRotation="90"/>
      <protection locked="0"/>
    </xf>
    <xf numFmtId="0" fontId="26" fillId="6" borderId="4" xfId="0" applyFont="1" applyFill="1" applyBorder="1" applyAlignment="1" applyProtection="1">
      <alignment horizontal="center" vertical="center" textRotation="90"/>
      <protection locked="0"/>
    </xf>
    <xf numFmtId="0" fontId="3" fillId="6" borderId="4" xfId="0" applyFont="1" applyFill="1" applyBorder="1" applyAlignment="1" applyProtection="1">
      <alignment horizontal="center" vertical="center" textRotation="90"/>
      <protection locked="0"/>
    </xf>
    <xf numFmtId="0" fontId="3" fillId="24" borderId="4" xfId="0" applyFont="1" applyFill="1" applyBorder="1" applyAlignment="1" applyProtection="1">
      <alignment horizontal="center" textRotation="90" wrapText="1"/>
      <protection locked="0"/>
    </xf>
    <xf numFmtId="0" fontId="0" fillId="0" borderId="0" xfId="0" applyAlignment="1" applyProtection="1">
      <alignment horizontal="center" textRotation="90"/>
      <protection locked="0"/>
    </xf>
    <xf numFmtId="0" fontId="28" fillId="27" borderId="4" xfId="0" applyFont="1" applyFill="1" applyBorder="1" applyAlignment="1">
      <alignment horizontal="center" vertical="center"/>
    </xf>
    <xf numFmtId="0" fontId="28" fillId="14" borderId="4" xfId="0" applyFont="1" applyFill="1" applyBorder="1" applyAlignment="1">
      <alignment horizontal="center" vertical="center"/>
    </xf>
    <xf numFmtId="0" fontId="28" fillId="28" borderId="4" xfId="0" applyFont="1" applyFill="1" applyBorder="1" applyAlignment="1">
      <alignment horizontal="center" vertical="center"/>
    </xf>
    <xf numFmtId="0" fontId="28" fillId="29" borderId="4" xfId="0" applyFont="1" applyFill="1" applyBorder="1" applyAlignment="1">
      <alignment horizontal="center" vertical="center"/>
    </xf>
    <xf numFmtId="0" fontId="28" fillId="13" borderId="4" xfId="0" applyFont="1" applyFill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6" borderId="1" xfId="0" applyFont="1" applyFill="1" applyBorder="1" applyAlignment="1" applyProtection="1">
      <alignment horizontal="center" vertical="center" wrapText="1"/>
      <protection locked="0"/>
    </xf>
    <xf numFmtId="0" fontId="5" fillId="6" borderId="2" xfId="0" applyFont="1" applyFill="1" applyBorder="1" applyAlignment="1" applyProtection="1">
      <alignment horizontal="center" vertical="center" wrapText="1"/>
      <protection locked="0"/>
    </xf>
    <xf numFmtId="0" fontId="5" fillId="6" borderId="3" xfId="0" applyFont="1" applyFill="1" applyBorder="1" applyAlignment="1" applyProtection="1">
      <alignment horizontal="center" vertical="center" wrapText="1"/>
      <protection locked="0"/>
    </xf>
    <xf numFmtId="0" fontId="5" fillId="26" borderId="1" xfId="0" applyFont="1" applyFill="1" applyBorder="1" applyAlignment="1" applyProtection="1">
      <alignment horizontal="center" vertical="center" wrapText="1"/>
      <protection locked="0"/>
    </xf>
    <xf numFmtId="0" fontId="5" fillId="26" borderId="2" xfId="0" applyFont="1" applyFill="1" applyBorder="1" applyAlignment="1" applyProtection="1">
      <alignment horizontal="center" vertical="center" wrapText="1"/>
      <protection locked="0"/>
    </xf>
    <xf numFmtId="0" fontId="5" fillId="26" borderId="3" xfId="0" applyFont="1" applyFill="1" applyBorder="1" applyAlignment="1" applyProtection="1">
      <alignment horizontal="center" vertical="center" wrapText="1"/>
      <protection locked="0"/>
    </xf>
    <xf numFmtId="0" fontId="5" fillId="25" borderId="1" xfId="0" applyFont="1" applyFill="1" applyBorder="1" applyAlignment="1" applyProtection="1">
      <alignment horizontal="center" vertical="center" wrapText="1"/>
      <protection locked="0"/>
    </xf>
    <xf numFmtId="0" fontId="5" fillId="25" borderId="2" xfId="0" applyFont="1" applyFill="1" applyBorder="1" applyAlignment="1" applyProtection="1">
      <alignment horizontal="center" vertical="center" wrapText="1"/>
      <protection locked="0"/>
    </xf>
    <xf numFmtId="0" fontId="5" fillId="25" borderId="3" xfId="0" applyFont="1" applyFill="1" applyBorder="1" applyAlignment="1" applyProtection="1">
      <alignment horizontal="center" vertical="center" wrapText="1"/>
      <protection locked="0"/>
    </xf>
    <xf numFmtId="0" fontId="5" fillId="7" borderId="1" xfId="0" applyFont="1" applyFill="1" applyBorder="1" applyAlignment="1" applyProtection="1">
      <alignment horizontal="center" vertical="center" wrapText="1"/>
      <protection locked="0"/>
    </xf>
    <xf numFmtId="0" fontId="5" fillId="7" borderId="2" xfId="0" applyFont="1" applyFill="1" applyBorder="1" applyAlignment="1" applyProtection="1">
      <alignment horizontal="center" vertical="center" wrapText="1"/>
      <protection locked="0"/>
    </xf>
    <xf numFmtId="0" fontId="5" fillId="7" borderId="3" xfId="0" applyFont="1" applyFill="1" applyBorder="1" applyAlignment="1" applyProtection="1">
      <alignment horizontal="center" vertical="center" wrapText="1"/>
      <protection locked="0"/>
    </xf>
    <xf numFmtId="0" fontId="5" fillId="24" borderId="1" xfId="0" applyFont="1" applyFill="1" applyBorder="1" applyAlignment="1" applyProtection="1">
      <alignment horizontal="center" vertical="center" wrapText="1"/>
      <protection locked="0"/>
    </xf>
    <xf numFmtId="0" fontId="5" fillId="24" borderId="2" xfId="0" applyFont="1" applyFill="1" applyBorder="1" applyAlignment="1" applyProtection="1">
      <alignment horizontal="center" vertical="center" wrapText="1"/>
      <protection locked="0"/>
    </xf>
    <xf numFmtId="0" fontId="5" fillId="24" borderId="3" xfId="0" applyFont="1" applyFill="1" applyBorder="1" applyAlignment="1" applyProtection="1">
      <alignment horizontal="center" vertical="center" wrapText="1"/>
      <protection locked="0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5" fillId="5" borderId="3" xfId="0" applyFont="1" applyFill="1" applyBorder="1" applyAlignment="1" applyProtection="1">
      <alignment horizontal="center" vertical="center" wrapText="1"/>
      <protection locked="0"/>
    </xf>
    <xf numFmtId="0" fontId="5" fillId="24" borderId="1" xfId="0" applyFont="1" applyFill="1" applyBorder="1" applyAlignment="1" applyProtection="1">
      <alignment horizontal="center" vertical="center"/>
      <protection locked="0"/>
    </xf>
    <xf numFmtId="0" fontId="5" fillId="24" borderId="2" xfId="0" applyFont="1" applyFill="1" applyBorder="1" applyAlignment="1" applyProtection="1">
      <alignment horizontal="center" vertical="center"/>
      <protection locked="0"/>
    </xf>
    <xf numFmtId="0" fontId="5" fillId="24" borderId="3" xfId="0" applyFont="1" applyFill="1" applyBorder="1" applyAlignment="1" applyProtection="1">
      <alignment horizontal="center" vertical="center"/>
      <protection locked="0"/>
    </xf>
    <xf numFmtId="0" fontId="21" fillId="22" borderId="1" xfId="0" applyFont="1" applyFill="1" applyBorder="1" applyAlignment="1" applyProtection="1">
      <alignment horizontal="center" vertical="center" wrapText="1"/>
      <protection locked="0"/>
    </xf>
    <xf numFmtId="0" fontId="21" fillId="22" borderId="3" xfId="0" applyFont="1" applyFill="1" applyBorder="1" applyAlignment="1" applyProtection="1">
      <alignment horizontal="center" vertical="center" wrapText="1"/>
      <protection locked="0"/>
    </xf>
    <xf numFmtId="0" fontId="19" fillId="17" borderId="1" xfId="0" applyFont="1" applyFill="1" applyBorder="1" applyAlignment="1" applyProtection="1">
      <alignment horizontal="center" vertical="center" wrapText="1"/>
      <protection locked="0"/>
    </xf>
    <xf numFmtId="0" fontId="19" fillId="17" borderId="3" xfId="0" applyFont="1" applyFill="1" applyBorder="1" applyAlignment="1" applyProtection="1">
      <alignment horizontal="center" vertical="center" wrapText="1"/>
      <protection locked="0"/>
    </xf>
    <xf numFmtId="0" fontId="5" fillId="8" borderId="5" xfId="0" applyFont="1" applyFill="1" applyBorder="1" applyAlignment="1" applyProtection="1">
      <alignment horizontal="left" vertical="center" wrapText="1"/>
      <protection locked="0"/>
    </xf>
    <xf numFmtId="0" fontId="5" fillId="8" borderId="6" xfId="0" applyFont="1" applyFill="1" applyBorder="1" applyAlignment="1" applyProtection="1">
      <alignment horizontal="left" vertical="center" wrapText="1"/>
      <protection locked="0"/>
    </xf>
    <xf numFmtId="0" fontId="5" fillId="8" borderId="7" xfId="0" applyFont="1" applyFill="1" applyBorder="1" applyAlignment="1" applyProtection="1">
      <alignment horizontal="left" vertical="center" wrapText="1"/>
      <protection locked="0"/>
    </xf>
    <xf numFmtId="0" fontId="19" fillId="15" borderId="1" xfId="0" applyFont="1" applyFill="1" applyBorder="1" applyAlignment="1" applyProtection="1">
      <alignment horizontal="center" vertical="center" wrapText="1"/>
      <protection locked="0"/>
    </xf>
    <xf numFmtId="0" fontId="19" fillId="15" borderId="3" xfId="0" applyFont="1" applyFill="1" applyBorder="1" applyAlignment="1" applyProtection="1">
      <alignment horizontal="center" vertical="center" wrapText="1"/>
      <protection locked="0"/>
    </xf>
    <xf numFmtId="0" fontId="3" fillId="7" borderId="1" xfId="0" applyFont="1" applyFill="1" applyBorder="1" applyAlignment="1" applyProtection="1">
      <alignment horizontal="center" vertical="center"/>
      <protection locked="0"/>
    </xf>
    <xf numFmtId="0" fontId="3" fillId="7" borderId="2" xfId="0" applyFont="1" applyFill="1" applyBorder="1" applyAlignment="1" applyProtection="1">
      <alignment horizontal="center" vertical="center"/>
      <protection locked="0"/>
    </xf>
    <xf numFmtId="0" fontId="3" fillId="7" borderId="3" xfId="0" applyFont="1" applyFill="1" applyBorder="1" applyAlignment="1" applyProtection="1">
      <alignment horizontal="center" vertical="center"/>
      <protection locked="0"/>
    </xf>
    <xf numFmtId="0" fontId="3" fillId="6" borderId="1" xfId="0" applyFont="1" applyFill="1" applyBorder="1" applyAlignment="1" applyProtection="1">
      <alignment horizontal="center" vertical="center"/>
      <protection locked="0"/>
    </xf>
    <xf numFmtId="0" fontId="3" fillId="6" borderId="2" xfId="0" applyFont="1" applyFill="1" applyBorder="1" applyAlignment="1" applyProtection="1">
      <alignment horizontal="center" vertical="center"/>
      <protection locked="0"/>
    </xf>
    <xf numFmtId="0" fontId="3" fillId="6" borderId="3" xfId="0" applyFont="1" applyFill="1" applyBorder="1" applyAlignment="1" applyProtection="1">
      <alignment horizontal="center" vertical="center"/>
      <protection locked="0"/>
    </xf>
    <xf numFmtId="0" fontId="3" fillId="5" borderId="8" xfId="0" applyFont="1" applyFill="1" applyBorder="1" applyAlignment="1" applyProtection="1">
      <alignment horizontal="center" vertical="center"/>
      <protection locked="0"/>
    </xf>
    <xf numFmtId="0" fontId="3" fillId="5" borderId="9" xfId="0" applyFont="1" applyFill="1" applyBorder="1" applyAlignment="1" applyProtection="1">
      <alignment horizontal="center" vertical="center"/>
      <protection locked="0"/>
    </xf>
    <xf numFmtId="0" fontId="3" fillId="5" borderId="10" xfId="0" applyFont="1" applyFill="1" applyBorder="1" applyAlignment="1" applyProtection="1">
      <alignment horizontal="center" vertical="center"/>
      <protection locked="0"/>
    </xf>
    <xf numFmtId="0" fontId="3" fillId="5" borderId="11" xfId="0" applyFont="1" applyFill="1" applyBorder="1" applyAlignment="1" applyProtection="1">
      <alignment horizontal="center" vertical="center"/>
      <protection locked="0"/>
    </xf>
    <xf numFmtId="0" fontId="3" fillId="5" borderId="12" xfId="0" applyFont="1" applyFill="1" applyBorder="1" applyAlignment="1" applyProtection="1">
      <alignment horizontal="center" vertical="center"/>
      <protection locked="0"/>
    </xf>
    <xf numFmtId="0" fontId="3" fillId="5" borderId="13" xfId="0" applyFont="1" applyFill="1" applyBorder="1" applyAlignment="1" applyProtection="1">
      <alignment horizontal="center" vertical="center"/>
      <protection locked="0"/>
    </xf>
    <xf numFmtId="0" fontId="3" fillId="4" borderId="8" xfId="0" applyFont="1" applyFill="1" applyBorder="1" applyAlignment="1" applyProtection="1">
      <alignment horizontal="center" vertical="center"/>
      <protection locked="0"/>
    </xf>
    <xf numFmtId="0" fontId="3" fillId="4" borderId="9" xfId="0" applyFont="1" applyFill="1" applyBorder="1" applyAlignment="1" applyProtection="1">
      <alignment horizontal="center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4" borderId="11" xfId="0" applyFont="1" applyFill="1" applyBorder="1" applyAlignment="1" applyProtection="1">
      <alignment horizontal="center" vertical="center"/>
      <protection locked="0"/>
    </xf>
    <xf numFmtId="0" fontId="3" fillId="4" borderId="12" xfId="0" applyFont="1" applyFill="1" applyBorder="1" applyAlignment="1" applyProtection="1">
      <alignment horizontal="center" vertical="center"/>
      <protection locked="0"/>
    </xf>
    <xf numFmtId="0" fontId="3" fillId="4" borderId="13" xfId="0" applyFont="1" applyFill="1" applyBorder="1" applyAlignment="1" applyProtection="1">
      <alignment horizontal="center" vertical="center"/>
      <protection locked="0"/>
    </xf>
    <xf numFmtId="0" fontId="3" fillId="3" borderId="8" xfId="0" applyFont="1" applyFill="1" applyBorder="1" applyAlignment="1" applyProtection="1">
      <alignment horizontal="center" vertical="center"/>
      <protection locked="0"/>
    </xf>
    <xf numFmtId="0" fontId="3" fillId="3" borderId="9" xfId="0" applyFont="1" applyFill="1" applyBorder="1" applyAlignment="1" applyProtection="1">
      <alignment horizontal="center" vertical="center"/>
      <protection locked="0"/>
    </xf>
    <xf numFmtId="0" fontId="3" fillId="3" borderId="10" xfId="0" applyFont="1" applyFill="1" applyBorder="1" applyAlignment="1" applyProtection="1">
      <alignment horizontal="center" vertical="center"/>
      <protection locked="0"/>
    </xf>
    <xf numFmtId="0" fontId="3" fillId="3" borderId="11" xfId="0" applyFont="1" applyFill="1" applyBorder="1" applyAlignment="1" applyProtection="1">
      <alignment horizontal="center" vertical="center"/>
      <protection locked="0"/>
    </xf>
    <xf numFmtId="0" fontId="3" fillId="3" borderId="12" xfId="0" applyFont="1" applyFill="1" applyBorder="1" applyAlignment="1" applyProtection="1">
      <alignment horizontal="center" vertical="center"/>
      <protection locked="0"/>
    </xf>
    <xf numFmtId="0" fontId="3" fillId="3" borderId="13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textRotation="90" wrapText="1"/>
      <protection locked="0"/>
    </xf>
    <xf numFmtId="0" fontId="3" fillId="2" borderId="6" xfId="0" applyFont="1" applyFill="1" applyBorder="1" applyAlignment="1" applyProtection="1">
      <alignment horizontal="center" textRotation="90" wrapText="1"/>
      <protection locked="0"/>
    </xf>
    <xf numFmtId="0" fontId="3" fillId="2" borderId="7" xfId="0" applyFont="1" applyFill="1" applyBorder="1" applyAlignment="1" applyProtection="1">
      <alignment horizontal="center" textRotation="90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L20"/>
  <sheetViews>
    <sheetView tabSelected="1" topLeftCell="W9" workbookViewId="0">
      <selection sqref="A1:AM20"/>
    </sheetView>
  </sheetViews>
  <sheetFormatPr defaultRowHeight="15" x14ac:dyDescent="0.25"/>
  <cols>
    <col min="2" max="2" width="17.28515625" customWidth="1"/>
    <col min="3" max="3" width="20.42578125" customWidth="1"/>
    <col min="4" max="4" width="13.5703125" customWidth="1"/>
    <col min="5" max="6" width="8.7109375" bestFit="1" customWidth="1"/>
    <col min="7" max="7" width="11.7109375" bestFit="1" customWidth="1"/>
    <col min="8" max="8" width="10.5703125" bestFit="1" customWidth="1"/>
    <col min="9" max="9" width="8.7109375" bestFit="1" customWidth="1"/>
    <col min="10" max="10" width="10.5703125" bestFit="1" customWidth="1"/>
    <col min="11" max="11" width="8.7109375" bestFit="1" customWidth="1"/>
    <col min="12" max="12" width="11.7109375" bestFit="1" customWidth="1"/>
    <col min="13" max="13" width="12.42578125" customWidth="1"/>
    <col min="14" max="15" width="11.7109375" bestFit="1" customWidth="1"/>
    <col min="16" max="16" width="16.85546875" bestFit="1" customWidth="1"/>
    <col min="17" max="17" width="14.28515625" customWidth="1"/>
    <col min="18" max="20" width="11.7109375" bestFit="1" customWidth="1"/>
    <col min="21" max="22" width="8.7109375" bestFit="1" customWidth="1"/>
    <col min="23" max="23" width="11.7109375" bestFit="1" customWidth="1"/>
    <col min="24" max="24" width="11.85546875" customWidth="1"/>
    <col min="25" max="28" width="8.7109375" bestFit="1" customWidth="1"/>
    <col min="29" max="29" width="6.7109375" bestFit="1" customWidth="1"/>
    <col min="30" max="30" width="12.140625" customWidth="1"/>
    <col min="31" max="31" width="16.85546875" bestFit="1" customWidth="1"/>
    <col min="32" max="32" width="12.5703125" customWidth="1"/>
    <col min="34" max="34" width="13.85546875" bestFit="1" customWidth="1"/>
    <col min="35" max="35" width="14" bestFit="1" customWidth="1"/>
    <col min="36" max="37" width="15" bestFit="1" customWidth="1"/>
    <col min="38" max="38" width="21.7109375" bestFit="1" customWidth="1"/>
  </cols>
  <sheetData>
    <row r="1" spans="2:38" ht="36" x14ac:dyDescent="0.6">
      <c r="B1" s="101" t="s">
        <v>0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"/>
      <c r="AH1" s="2"/>
      <c r="AI1" s="2"/>
      <c r="AJ1" s="2"/>
      <c r="AK1" s="2"/>
      <c r="AL1" s="2"/>
    </row>
    <row r="2" spans="2:38" ht="26.25" x14ac:dyDescent="0.4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1"/>
      <c r="AH2" s="102" t="s">
        <v>1</v>
      </c>
      <c r="AI2" s="103"/>
      <c r="AJ2" s="103"/>
      <c r="AK2" s="103"/>
      <c r="AL2" s="104"/>
    </row>
    <row r="3" spans="2:38" ht="26.25" x14ac:dyDescent="0.4">
      <c r="B3" s="161" t="s">
        <v>2</v>
      </c>
      <c r="C3" s="162"/>
      <c r="D3" s="158" t="s">
        <v>3</v>
      </c>
      <c r="E3" s="152" t="s">
        <v>4</v>
      </c>
      <c r="F3" s="153"/>
      <c r="G3" s="154"/>
      <c r="H3" s="146" t="s">
        <v>5</v>
      </c>
      <c r="I3" s="147"/>
      <c r="J3" s="148"/>
      <c r="K3" s="140" t="s">
        <v>6</v>
      </c>
      <c r="L3" s="141"/>
      <c r="M3" s="141"/>
      <c r="N3" s="141"/>
      <c r="O3" s="142"/>
      <c r="P3" s="137" t="s">
        <v>7</v>
      </c>
      <c r="Q3" s="138"/>
      <c r="R3" s="138"/>
      <c r="S3" s="138"/>
      <c r="T3" s="138"/>
      <c r="U3" s="138"/>
      <c r="V3" s="138"/>
      <c r="W3" s="138"/>
      <c r="X3" s="139"/>
      <c r="Y3" s="134" t="s">
        <v>8</v>
      </c>
      <c r="Z3" s="135"/>
      <c r="AA3" s="135"/>
      <c r="AB3" s="135"/>
      <c r="AC3" s="135"/>
      <c r="AD3" s="135"/>
      <c r="AE3" s="135"/>
      <c r="AF3" s="136"/>
      <c r="AH3" s="6" t="s">
        <v>4</v>
      </c>
      <c r="AI3" s="7" t="s">
        <v>9</v>
      </c>
      <c r="AJ3" s="7" t="s">
        <v>10</v>
      </c>
      <c r="AK3" s="7" t="s">
        <v>11</v>
      </c>
      <c r="AL3" s="7" t="s">
        <v>8</v>
      </c>
    </row>
    <row r="4" spans="2:38" ht="26.25" x14ac:dyDescent="0.4">
      <c r="B4" s="163"/>
      <c r="C4" s="164"/>
      <c r="D4" s="159"/>
      <c r="E4" s="155"/>
      <c r="F4" s="156"/>
      <c r="G4" s="157"/>
      <c r="H4" s="149"/>
      <c r="I4" s="150"/>
      <c r="J4" s="151"/>
      <c r="K4" s="143"/>
      <c r="L4" s="144"/>
      <c r="M4" s="144"/>
      <c r="N4" s="144"/>
      <c r="O4" s="145"/>
      <c r="P4" s="4">
        <v>1</v>
      </c>
      <c r="Q4" s="4">
        <v>2</v>
      </c>
      <c r="R4" s="4">
        <v>3</v>
      </c>
      <c r="S4" s="4">
        <v>4</v>
      </c>
      <c r="T4" s="4">
        <v>5</v>
      </c>
      <c r="U4" s="4">
        <v>6</v>
      </c>
      <c r="V4" s="4">
        <v>7</v>
      </c>
      <c r="W4" s="4">
        <v>8</v>
      </c>
      <c r="X4" s="4">
        <v>9</v>
      </c>
      <c r="Y4" s="5">
        <v>1</v>
      </c>
      <c r="Z4" s="5">
        <v>2</v>
      </c>
      <c r="AA4" s="5">
        <v>3</v>
      </c>
      <c r="AB4" s="5">
        <v>4</v>
      </c>
      <c r="AC4" s="5">
        <v>4</v>
      </c>
      <c r="AD4" s="5">
        <v>6</v>
      </c>
      <c r="AE4" s="5">
        <v>7</v>
      </c>
      <c r="AF4" s="3">
        <v>8</v>
      </c>
      <c r="AH4" s="6"/>
      <c r="AI4" s="7"/>
      <c r="AJ4" s="7"/>
      <c r="AK4" s="7"/>
      <c r="AL4" s="7"/>
    </row>
    <row r="5" spans="2:38" ht="178.5" x14ac:dyDescent="0.25">
      <c r="B5" s="165"/>
      <c r="C5" s="166"/>
      <c r="D5" s="160"/>
      <c r="E5" s="8" t="s">
        <v>12</v>
      </c>
      <c r="F5" s="8" t="s">
        <v>13</v>
      </c>
      <c r="G5" s="8" t="s">
        <v>14</v>
      </c>
      <c r="H5" s="9" t="s">
        <v>15</v>
      </c>
      <c r="I5" s="9" t="s">
        <v>16</v>
      </c>
      <c r="J5" s="9" t="s">
        <v>17</v>
      </c>
      <c r="K5" s="10" t="s">
        <v>18</v>
      </c>
      <c r="L5" s="10" t="s">
        <v>19</v>
      </c>
      <c r="M5" s="10" t="s">
        <v>20</v>
      </c>
      <c r="N5" s="10" t="s">
        <v>21</v>
      </c>
      <c r="O5" s="10" t="s">
        <v>22</v>
      </c>
      <c r="P5" s="11" t="s">
        <v>23</v>
      </c>
      <c r="Q5" s="11" t="s">
        <v>24</v>
      </c>
      <c r="R5" s="11" t="s">
        <v>25</v>
      </c>
      <c r="S5" s="11" t="s">
        <v>26</v>
      </c>
      <c r="T5" s="11" t="s">
        <v>27</v>
      </c>
      <c r="U5" s="11" t="s">
        <v>28</v>
      </c>
      <c r="V5" s="11" t="s">
        <v>29</v>
      </c>
      <c r="W5" s="11" t="s">
        <v>30</v>
      </c>
      <c r="X5" s="11" t="s">
        <v>31</v>
      </c>
      <c r="Y5" s="12" t="s">
        <v>32</v>
      </c>
      <c r="Z5" s="12" t="s">
        <v>33</v>
      </c>
      <c r="AA5" s="12" t="s">
        <v>34</v>
      </c>
      <c r="AB5" s="12" t="s">
        <v>35</v>
      </c>
      <c r="AC5" s="12" t="s">
        <v>36</v>
      </c>
      <c r="AD5" s="12" t="s">
        <v>37</v>
      </c>
      <c r="AE5" s="12" t="s">
        <v>38</v>
      </c>
      <c r="AF5" s="12" t="s">
        <v>39</v>
      </c>
      <c r="AH5" s="13"/>
      <c r="AI5" s="14"/>
      <c r="AJ5" s="14"/>
      <c r="AK5" s="14"/>
      <c r="AL5" s="14"/>
    </row>
    <row r="6" spans="2:38" ht="28.5" x14ac:dyDescent="0.25">
      <c r="B6" s="129" t="s">
        <v>40</v>
      </c>
      <c r="C6" s="15" t="s">
        <v>41</v>
      </c>
      <c r="D6" s="16">
        <v>12</v>
      </c>
      <c r="E6" s="17">
        <v>10</v>
      </c>
      <c r="F6" s="18">
        <v>2</v>
      </c>
      <c r="G6" s="19">
        <v>0</v>
      </c>
      <c r="H6" s="20">
        <v>0</v>
      </c>
      <c r="I6" s="20">
        <v>12</v>
      </c>
      <c r="J6" s="20">
        <v>0</v>
      </c>
      <c r="K6" s="21">
        <v>9</v>
      </c>
      <c r="L6" s="21">
        <v>2</v>
      </c>
      <c r="M6" s="21">
        <v>1</v>
      </c>
      <c r="N6" s="21">
        <v>0</v>
      </c>
      <c r="O6" s="21">
        <v>0</v>
      </c>
      <c r="P6" s="22">
        <v>3</v>
      </c>
      <c r="Q6" s="22">
        <v>0</v>
      </c>
      <c r="R6" s="22">
        <v>0</v>
      </c>
      <c r="S6" s="22">
        <v>2</v>
      </c>
      <c r="T6" s="22">
        <v>6</v>
      </c>
      <c r="U6" s="22">
        <v>1</v>
      </c>
      <c r="V6" s="22">
        <v>0</v>
      </c>
      <c r="W6" s="22">
        <v>0</v>
      </c>
      <c r="X6" s="22">
        <v>0</v>
      </c>
      <c r="Y6" s="23">
        <v>3</v>
      </c>
      <c r="Z6" s="23">
        <v>5</v>
      </c>
      <c r="AA6" s="23">
        <v>1</v>
      </c>
      <c r="AB6" s="23">
        <v>1</v>
      </c>
      <c r="AC6" s="23">
        <v>1</v>
      </c>
      <c r="AD6" s="23">
        <v>0</v>
      </c>
      <c r="AE6" s="23">
        <v>1</v>
      </c>
      <c r="AF6" s="24">
        <v>0</v>
      </c>
      <c r="AH6" s="25" t="b">
        <f>D6=SUM(E6:G6)</f>
        <v>1</v>
      </c>
      <c r="AI6" s="25" t="b">
        <f>D6=SUM(H6:J6)</f>
        <v>1</v>
      </c>
      <c r="AJ6" s="25" t="b">
        <f>D6=SUM(K6:O6)</f>
        <v>1</v>
      </c>
      <c r="AK6" s="25" t="b">
        <f>D6=SUM(P6:X6)</f>
        <v>1</v>
      </c>
      <c r="AL6" s="25" t="b">
        <f>D6=SUM(Y6:AE6)</f>
        <v>1</v>
      </c>
    </row>
    <row r="7" spans="2:38" ht="28.5" x14ac:dyDescent="0.25">
      <c r="B7" s="130"/>
      <c r="C7" s="26" t="s">
        <v>42</v>
      </c>
      <c r="D7" s="16">
        <v>15</v>
      </c>
      <c r="E7" s="27">
        <v>4</v>
      </c>
      <c r="F7" s="28">
        <v>11</v>
      </c>
      <c r="G7" s="27">
        <v>0</v>
      </c>
      <c r="H7" s="29">
        <v>0</v>
      </c>
      <c r="I7" s="29">
        <v>15</v>
      </c>
      <c r="J7" s="29">
        <v>0</v>
      </c>
      <c r="K7" s="30">
        <v>14</v>
      </c>
      <c r="L7" s="30">
        <v>0</v>
      </c>
      <c r="M7" s="30">
        <v>0</v>
      </c>
      <c r="N7" s="30">
        <v>1</v>
      </c>
      <c r="O7" s="30">
        <v>0</v>
      </c>
      <c r="P7" s="31">
        <v>3</v>
      </c>
      <c r="Q7" s="31">
        <v>0</v>
      </c>
      <c r="R7" s="31">
        <v>2</v>
      </c>
      <c r="S7" s="31">
        <v>8</v>
      </c>
      <c r="T7" s="31">
        <v>0</v>
      </c>
      <c r="U7" s="31">
        <v>0</v>
      </c>
      <c r="V7" s="31">
        <v>2</v>
      </c>
      <c r="W7" s="31">
        <v>0</v>
      </c>
      <c r="X7" s="31">
        <v>0</v>
      </c>
      <c r="Y7" s="32">
        <v>4</v>
      </c>
      <c r="Z7" s="32">
        <v>4</v>
      </c>
      <c r="AA7" s="32">
        <v>6</v>
      </c>
      <c r="AB7" s="32">
        <v>1</v>
      </c>
      <c r="AC7" s="32">
        <v>0</v>
      </c>
      <c r="AD7" s="32">
        <v>0</v>
      </c>
      <c r="AE7" s="32">
        <v>0</v>
      </c>
      <c r="AF7" s="33">
        <v>0</v>
      </c>
      <c r="AH7" s="25" t="b">
        <f>D7=SUM(E7:G7)</f>
        <v>1</v>
      </c>
      <c r="AI7" s="25" t="b">
        <f>D7=SUM(H7:J7)</f>
        <v>1</v>
      </c>
      <c r="AJ7" s="25" t="b">
        <f>D7=SUM(K7:O7)</f>
        <v>1</v>
      </c>
      <c r="AK7" s="25" t="b">
        <f>D7=SUM(P7:X7)</f>
        <v>1</v>
      </c>
      <c r="AL7" s="25" t="b">
        <f>D7=SUM(Y7:AE7)</f>
        <v>1</v>
      </c>
    </row>
    <row r="8" spans="2:38" ht="28.5" x14ac:dyDescent="0.25">
      <c r="B8" s="130"/>
      <c r="C8" s="34" t="s">
        <v>43</v>
      </c>
      <c r="D8" s="35">
        <v>22</v>
      </c>
      <c r="E8" s="36">
        <v>5</v>
      </c>
      <c r="F8" s="36">
        <v>4</v>
      </c>
      <c r="G8" s="36">
        <v>13</v>
      </c>
      <c r="H8" s="37">
        <v>3</v>
      </c>
      <c r="I8" s="37">
        <v>11</v>
      </c>
      <c r="J8" s="37">
        <v>8</v>
      </c>
      <c r="K8" s="38">
        <v>22</v>
      </c>
      <c r="L8" s="38">
        <v>0</v>
      </c>
      <c r="M8" s="38">
        <v>0</v>
      </c>
      <c r="N8" s="38">
        <v>0</v>
      </c>
      <c r="O8" s="38">
        <v>0</v>
      </c>
      <c r="P8" s="39">
        <v>0</v>
      </c>
      <c r="Q8" s="39">
        <v>0</v>
      </c>
      <c r="R8" s="39">
        <v>6</v>
      </c>
      <c r="S8" s="39">
        <v>5</v>
      </c>
      <c r="T8" s="39">
        <v>11</v>
      </c>
      <c r="U8" s="39">
        <v>0</v>
      </c>
      <c r="V8" s="39">
        <v>0</v>
      </c>
      <c r="W8" s="39">
        <v>0</v>
      </c>
      <c r="X8" s="39">
        <v>0</v>
      </c>
      <c r="Y8" s="40">
        <v>7</v>
      </c>
      <c r="Z8" s="40">
        <v>0</v>
      </c>
      <c r="AA8" s="40">
        <v>1</v>
      </c>
      <c r="AB8" s="40">
        <v>0</v>
      </c>
      <c r="AC8" s="40">
        <v>1</v>
      </c>
      <c r="AD8" s="40">
        <v>0</v>
      </c>
      <c r="AE8" s="40">
        <v>1</v>
      </c>
      <c r="AF8" s="40">
        <v>12</v>
      </c>
      <c r="AH8" s="25" t="b">
        <f>D8=SUM(E8:G8)</f>
        <v>1</v>
      </c>
      <c r="AI8" s="25" t="b">
        <f>D8=SUM(H8:J8)</f>
        <v>1</v>
      </c>
      <c r="AJ8" s="25" t="b">
        <f>D8=SUM(K8:O8)</f>
        <v>1</v>
      </c>
      <c r="AK8" s="25" t="b">
        <f>D8=SUM(P8:X8)</f>
        <v>1</v>
      </c>
      <c r="AL8" s="25" t="b">
        <f>D8=SUM(Y8:AF8)</f>
        <v>1</v>
      </c>
    </row>
    <row r="9" spans="2:38" ht="28.5" x14ac:dyDescent="0.45">
      <c r="B9" s="131"/>
      <c r="C9" s="41" t="s">
        <v>44</v>
      </c>
      <c r="D9" s="42">
        <v>23</v>
      </c>
      <c r="E9" s="43">
        <v>12</v>
      </c>
      <c r="F9" s="43">
        <v>11</v>
      </c>
      <c r="G9" s="43">
        <v>0</v>
      </c>
      <c r="H9" s="44">
        <v>0</v>
      </c>
      <c r="I9" s="44">
        <v>22</v>
      </c>
      <c r="J9" s="44">
        <v>1</v>
      </c>
      <c r="K9" s="45">
        <v>6</v>
      </c>
      <c r="L9" s="45">
        <v>0</v>
      </c>
      <c r="M9" s="45">
        <v>16</v>
      </c>
      <c r="N9" s="45">
        <v>1</v>
      </c>
      <c r="O9" s="45">
        <v>0</v>
      </c>
      <c r="P9" s="46">
        <v>5</v>
      </c>
      <c r="Q9" s="46">
        <v>3</v>
      </c>
      <c r="R9" s="46">
        <v>4</v>
      </c>
      <c r="S9" s="46">
        <v>2</v>
      </c>
      <c r="T9" s="46">
        <v>4</v>
      </c>
      <c r="U9" s="46">
        <v>0</v>
      </c>
      <c r="V9" s="46">
        <v>2</v>
      </c>
      <c r="W9" s="46">
        <v>2</v>
      </c>
      <c r="X9" s="46">
        <v>1</v>
      </c>
      <c r="Y9" s="47">
        <v>4</v>
      </c>
      <c r="Z9" s="47">
        <v>5</v>
      </c>
      <c r="AA9" s="47">
        <v>3</v>
      </c>
      <c r="AB9" s="47">
        <v>2</v>
      </c>
      <c r="AC9" s="47">
        <v>2</v>
      </c>
      <c r="AD9" s="47">
        <v>1</v>
      </c>
      <c r="AE9" s="47">
        <v>6</v>
      </c>
      <c r="AF9" s="48">
        <v>0</v>
      </c>
      <c r="AH9" s="25" t="b">
        <f>D9=SUM(E9:G9)</f>
        <v>1</v>
      </c>
      <c r="AI9" s="25" t="b">
        <f>D9=SUM(H9:J9)</f>
        <v>1</v>
      </c>
      <c r="AJ9" s="25" t="b">
        <f>D9=SUM(K9:O9)</f>
        <v>1</v>
      </c>
      <c r="AK9" s="25" t="b">
        <f>D9=SUM(P9:X9)</f>
        <v>1</v>
      </c>
      <c r="AL9" s="25" t="b">
        <f>D9=SUM(Y9:AE9)</f>
        <v>1</v>
      </c>
    </row>
    <row r="10" spans="2:38" ht="31.5" x14ac:dyDescent="0.25">
      <c r="B10" s="132" t="s">
        <v>45</v>
      </c>
      <c r="C10" s="133"/>
      <c r="D10" s="49">
        <f t="shared" ref="D10:AF10" si="0">SUM(D6:D9)</f>
        <v>72</v>
      </c>
      <c r="E10" s="49">
        <f t="shared" si="0"/>
        <v>31</v>
      </c>
      <c r="F10" s="49">
        <f t="shared" si="0"/>
        <v>28</v>
      </c>
      <c r="G10" s="49">
        <f t="shared" si="0"/>
        <v>13</v>
      </c>
      <c r="H10" s="49">
        <f t="shared" si="0"/>
        <v>3</v>
      </c>
      <c r="I10" s="49">
        <f t="shared" si="0"/>
        <v>60</v>
      </c>
      <c r="J10" s="49">
        <f t="shared" si="0"/>
        <v>9</v>
      </c>
      <c r="K10" s="49">
        <f t="shared" si="0"/>
        <v>51</v>
      </c>
      <c r="L10" s="49">
        <f t="shared" si="0"/>
        <v>2</v>
      </c>
      <c r="M10" s="49">
        <f t="shared" si="0"/>
        <v>17</v>
      </c>
      <c r="N10" s="49">
        <f t="shared" si="0"/>
        <v>2</v>
      </c>
      <c r="O10" s="49">
        <f t="shared" si="0"/>
        <v>0</v>
      </c>
      <c r="P10" s="49">
        <f t="shared" si="0"/>
        <v>11</v>
      </c>
      <c r="Q10" s="49">
        <f t="shared" si="0"/>
        <v>3</v>
      </c>
      <c r="R10" s="49">
        <f t="shared" si="0"/>
        <v>12</v>
      </c>
      <c r="S10" s="49">
        <f t="shared" si="0"/>
        <v>17</v>
      </c>
      <c r="T10" s="49">
        <f t="shared" si="0"/>
        <v>21</v>
      </c>
      <c r="U10" s="49">
        <f t="shared" si="0"/>
        <v>1</v>
      </c>
      <c r="V10" s="49">
        <f t="shared" si="0"/>
        <v>4</v>
      </c>
      <c r="W10" s="49">
        <f t="shared" si="0"/>
        <v>2</v>
      </c>
      <c r="X10" s="49">
        <f t="shared" si="0"/>
        <v>1</v>
      </c>
      <c r="Y10" s="49">
        <f t="shared" si="0"/>
        <v>18</v>
      </c>
      <c r="Z10" s="49">
        <f t="shared" si="0"/>
        <v>14</v>
      </c>
      <c r="AA10" s="49">
        <f t="shared" si="0"/>
        <v>11</v>
      </c>
      <c r="AB10" s="49">
        <f t="shared" si="0"/>
        <v>4</v>
      </c>
      <c r="AC10" s="49">
        <f t="shared" si="0"/>
        <v>4</v>
      </c>
      <c r="AD10" s="49">
        <f t="shared" si="0"/>
        <v>1</v>
      </c>
      <c r="AE10" s="49">
        <f t="shared" si="0"/>
        <v>8</v>
      </c>
      <c r="AF10" s="50">
        <f t="shared" si="0"/>
        <v>12</v>
      </c>
      <c r="AH10" s="25" t="b">
        <f>D10=SUM(E10:G10)</f>
        <v>1</v>
      </c>
      <c r="AI10" s="25" t="b">
        <f>D10=SUM(H10:J10)</f>
        <v>1</v>
      </c>
      <c r="AJ10" s="25" t="b">
        <f>D10=SUM(K10:O10)</f>
        <v>1</v>
      </c>
      <c r="AK10" s="25" t="b">
        <f>D10=SUM(P10:X10)</f>
        <v>1</v>
      </c>
      <c r="AL10" s="25" t="b">
        <f>D10=SUM(Y10:AF10)</f>
        <v>1</v>
      </c>
    </row>
    <row r="11" spans="2:38" ht="28.5" x14ac:dyDescent="0.25">
      <c r="B11" s="129" t="s">
        <v>46</v>
      </c>
      <c r="C11" s="15" t="s">
        <v>41</v>
      </c>
      <c r="D11" s="16">
        <v>60</v>
      </c>
      <c r="E11" s="17">
        <v>36</v>
      </c>
      <c r="F11" s="18">
        <v>24</v>
      </c>
      <c r="G11" s="19">
        <v>0</v>
      </c>
      <c r="H11" s="20">
        <v>0</v>
      </c>
      <c r="I11" s="20">
        <v>60</v>
      </c>
      <c r="J11" s="20">
        <v>0</v>
      </c>
      <c r="K11" s="21">
        <v>48</v>
      </c>
      <c r="L11" s="21">
        <v>3</v>
      </c>
      <c r="M11" s="21">
        <v>4</v>
      </c>
      <c r="N11" s="21">
        <v>5</v>
      </c>
      <c r="O11" s="21">
        <v>0</v>
      </c>
      <c r="P11" s="22">
        <v>33</v>
      </c>
      <c r="Q11" s="22">
        <v>2</v>
      </c>
      <c r="R11" s="22">
        <v>1</v>
      </c>
      <c r="S11" s="22">
        <v>14</v>
      </c>
      <c r="T11" s="22">
        <v>5</v>
      </c>
      <c r="U11" s="22">
        <v>5</v>
      </c>
      <c r="V11" s="22">
        <v>0</v>
      </c>
      <c r="W11" s="22">
        <v>0</v>
      </c>
      <c r="X11" s="22">
        <v>0</v>
      </c>
      <c r="Y11" s="23">
        <v>22</v>
      </c>
      <c r="Z11" s="23">
        <v>15</v>
      </c>
      <c r="AA11" s="23">
        <v>15</v>
      </c>
      <c r="AB11" s="23">
        <v>3</v>
      </c>
      <c r="AC11" s="23">
        <v>5</v>
      </c>
      <c r="AD11" s="23">
        <v>0</v>
      </c>
      <c r="AE11" s="23">
        <v>0</v>
      </c>
      <c r="AF11" s="24">
        <v>0</v>
      </c>
      <c r="AH11" s="25" t="b">
        <f>D11=SUM(E11:G11)</f>
        <v>1</v>
      </c>
      <c r="AI11" s="25" t="b">
        <f>D11=SUM(H11:J11)</f>
        <v>1</v>
      </c>
      <c r="AJ11" s="25" t="b">
        <f>D11=SUM(K11:O11)</f>
        <v>1</v>
      </c>
      <c r="AK11" s="25" t="b">
        <f>D11=SUM(P11:X11)</f>
        <v>1</v>
      </c>
      <c r="AL11" s="25" t="b">
        <f>D11=SUM(Y11:AF11)</f>
        <v>1</v>
      </c>
    </row>
    <row r="12" spans="2:38" ht="28.5" x14ac:dyDescent="0.25">
      <c r="B12" s="130"/>
      <c r="C12" s="26" t="s">
        <v>42</v>
      </c>
      <c r="D12" s="16">
        <v>41</v>
      </c>
      <c r="E12" s="27">
        <v>21</v>
      </c>
      <c r="F12" s="27">
        <v>20</v>
      </c>
      <c r="G12" s="27">
        <v>0</v>
      </c>
      <c r="H12" s="29">
        <v>0</v>
      </c>
      <c r="I12" s="29">
        <v>41</v>
      </c>
      <c r="J12" s="29">
        <v>0</v>
      </c>
      <c r="K12" s="30">
        <v>35</v>
      </c>
      <c r="L12" s="30">
        <v>1</v>
      </c>
      <c r="M12" s="30">
        <v>3</v>
      </c>
      <c r="N12" s="30">
        <v>2</v>
      </c>
      <c r="O12" s="30">
        <v>0</v>
      </c>
      <c r="P12" s="31">
        <v>11</v>
      </c>
      <c r="Q12" s="31">
        <v>1</v>
      </c>
      <c r="R12" s="31">
        <v>10</v>
      </c>
      <c r="S12" s="31">
        <v>17</v>
      </c>
      <c r="T12" s="31">
        <v>0</v>
      </c>
      <c r="U12" s="31">
        <v>0</v>
      </c>
      <c r="V12" s="31">
        <v>2</v>
      </c>
      <c r="W12" s="31">
        <v>0</v>
      </c>
      <c r="X12" s="31">
        <v>0</v>
      </c>
      <c r="Y12" s="32">
        <v>9</v>
      </c>
      <c r="Z12" s="32">
        <v>17</v>
      </c>
      <c r="AA12" s="32">
        <v>9</v>
      </c>
      <c r="AB12" s="32">
        <v>5</v>
      </c>
      <c r="AC12" s="32">
        <v>1</v>
      </c>
      <c r="AD12" s="32">
        <v>0</v>
      </c>
      <c r="AE12" s="32">
        <v>0</v>
      </c>
      <c r="AF12" s="33">
        <v>0</v>
      </c>
      <c r="AH12" s="25" t="b">
        <f>D12=SUM(E12:G12)</f>
        <v>1</v>
      </c>
      <c r="AI12" s="25" t="b">
        <f>D12=SUM(H12:J12)</f>
        <v>1</v>
      </c>
      <c r="AJ12" s="25" t="b">
        <f>D12=SUM(K12:O12)</f>
        <v>1</v>
      </c>
      <c r="AK12" s="25" t="b">
        <f>D12=SUM(P12:X12)</f>
        <v>1</v>
      </c>
      <c r="AL12" s="25" t="b">
        <f>D12=SUM(Y12:AE12)</f>
        <v>1</v>
      </c>
    </row>
    <row r="13" spans="2:38" ht="28.5" x14ac:dyDescent="0.25">
      <c r="B13" s="130"/>
      <c r="C13" s="34" t="s">
        <v>43</v>
      </c>
      <c r="D13" s="35">
        <v>170</v>
      </c>
      <c r="E13" s="36">
        <v>89</v>
      </c>
      <c r="F13" s="36">
        <v>70</v>
      </c>
      <c r="G13" s="36">
        <v>11</v>
      </c>
      <c r="H13" s="37">
        <v>94</v>
      </c>
      <c r="I13" s="37">
        <v>51</v>
      </c>
      <c r="J13" s="37">
        <v>25</v>
      </c>
      <c r="K13" s="38">
        <v>170</v>
      </c>
      <c r="L13" s="38">
        <v>0</v>
      </c>
      <c r="M13" s="38">
        <v>0</v>
      </c>
      <c r="N13" s="38">
        <v>0</v>
      </c>
      <c r="O13" s="38">
        <v>0</v>
      </c>
      <c r="P13" s="39">
        <v>0</v>
      </c>
      <c r="Q13" s="39">
        <v>0</v>
      </c>
      <c r="R13" s="39">
        <v>21</v>
      </c>
      <c r="S13" s="39">
        <v>50</v>
      </c>
      <c r="T13" s="39">
        <v>74</v>
      </c>
      <c r="U13" s="39">
        <v>17</v>
      </c>
      <c r="V13" s="39">
        <v>0</v>
      </c>
      <c r="W13" s="39">
        <v>2</v>
      </c>
      <c r="X13" s="39">
        <v>6</v>
      </c>
      <c r="Y13" s="40">
        <v>72</v>
      </c>
      <c r="Z13" s="40">
        <v>10</v>
      </c>
      <c r="AA13" s="40">
        <v>47</v>
      </c>
      <c r="AB13" s="40">
        <v>12</v>
      </c>
      <c r="AC13" s="40">
        <v>24</v>
      </c>
      <c r="AD13" s="40">
        <v>0</v>
      </c>
      <c r="AE13" s="40">
        <v>2</v>
      </c>
      <c r="AF13" s="40">
        <v>3</v>
      </c>
      <c r="AH13" s="25" t="b">
        <f>D13=SUM(E13:G13)</f>
        <v>1</v>
      </c>
      <c r="AI13" s="25" t="b">
        <f>D13=SUM(H13:J13)</f>
        <v>1</v>
      </c>
      <c r="AJ13" s="25" t="b">
        <f>D13=SUM(K13:O13)</f>
        <v>1</v>
      </c>
      <c r="AK13" s="25" t="b">
        <f>D13=SUM(P13:X13)</f>
        <v>1</v>
      </c>
      <c r="AL13" s="25" t="b">
        <f>D13=SUM(Y13:AF13)</f>
        <v>1</v>
      </c>
    </row>
    <row r="14" spans="2:38" ht="28.5" x14ac:dyDescent="0.25">
      <c r="B14" s="131"/>
      <c r="C14" s="41" t="s">
        <v>44</v>
      </c>
      <c r="D14" s="35">
        <v>41</v>
      </c>
      <c r="E14" s="51">
        <v>16</v>
      </c>
      <c r="F14" s="51">
        <v>25</v>
      </c>
      <c r="G14" s="51">
        <v>0</v>
      </c>
      <c r="H14" s="52">
        <v>3</v>
      </c>
      <c r="I14" s="52">
        <v>38</v>
      </c>
      <c r="J14" s="52">
        <v>0</v>
      </c>
      <c r="K14" s="53">
        <v>28</v>
      </c>
      <c r="L14" s="53">
        <v>0</v>
      </c>
      <c r="M14" s="53">
        <v>12</v>
      </c>
      <c r="N14" s="53">
        <v>1</v>
      </c>
      <c r="O14" s="53">
        <v>0</v>
      </c>
      <c r="P14" s="54">
        <v>12</v>
      </c>
      <c r="Q14" s="54">
        <v>1</v>
      </c>
      <c r="R14" s="54">
        <v>8</v>
      </c>
      <c r="S14" s="54">
        <v>8</v>
      </c>
      <c r="T14" s="54">
        <v>7</v>
      </c>
      <c r="U14" s="54">
        <v>3</v>
      </c>
      <c r="V14" s="54">
        <v>0</v>
      </c>
      <c r="W14" s="54">
        <v>2</v>
      </c>
      <c r="X14" s="54">
        <v>0</v>
      </c>
      <c r="Y14" s="55">
        <v>6</v>
      </c>
      <c r="Z14" s="55">
        <v>11</v>
      </c>
      <c r="AA14" s="55">
        <v>16</v>
      </c>
      <c r="AB14" s="55">
        <v>0</v>
      </c>
      <c r="AC14" s="55">
        <v>0</v>
      </c>
      <c r="AD14" s="55">
        <v>5</v>
      </c>
      <c r="AE14" s="55">
        <v>3</v>
      </c>
      <c r="AF14" s="33">
        <v>0</v>
      </c>
      <c r="AH14" s="25" t="b">
        <f>D14=SUM(E14:G14)</f>
        <v>1</v>
      </c>
      <c r="AI14" s="25" t="b">
        <f>D14=SUM(H14:J14)</f>
        <v>1</v>
      </c>
      <c r="AJ14" s="25" t="b">
        <f>D14=SUM(K14:O14)</f>
        <v>1</v>
      </c>
      <c r="AK14" s="25" t="b">
        <f>D14=SUM(P14:X14)</f>
        <v>1</v>
      </c>
      <c r="AL14" s="25" t="b">
        <f>D14=SUM(Y14:AF14)</f>
        <v>1</v>
      </c>
    </row>
    <row r="15" spans="2:38" ht="31.5" x14ac:dyDescent="0.25">
      <c r="B15" s="127" t="s">
        <v>47</v>
      </c>
      <c r="C15" s="128"/>
      <c r="D15" s="56">
        <f t="shared" ref="D15:AF15" si="1">SUM(D11:D14)</f>
        <v>312</v>
      </c>
      <c r="E15" s="56">
        <f t="shared" si="1"/>
        <v>162</v>
      </c>
      <c r="F15" s="56">
        <f t="shared" si="1"/>
        <v>139</v>
      </c>
      <c r="G15" s="56">
        <f t="shared" si="1"/>
        <v>11</v>
      </c>
      <c r="H15" s="56">
        <f t="shared" si="1"/>
        <v>97</v>
      </c>
      <c r="I15" s="56">
        <f t="shared" si="1"/>
        <v>190</v>
      </c>
      <c r="J15" s="56">
        <f t="shared" si="1"/>
        <v>25</v>
      </c>
      <c r="K15" s="56">
        <f t="shared" si="1"/>
        <v>281</v>
      </c>
      <c r="L15" s="57">
        <f t="shared" si="1"/>
        <v>4</v>
      </c>
      <c r="M15" s="57">
        <f t="shared" si="1"/>
        <v>19</v>
      </c>
      <c r="N15" s="57">
        <f t="shared" si="1"/>
        <v>8</v>
      </c>
      <c r="O15" s="57">
        <f t="shared" si="1"/>
        <v>0</v>
      </c>
      <c r="P15" s="58">
        <f t="shared" si="1"/>
        <v>56</v>
      </c>
      <c r="Q15" s="58">
        <f t="shared" si="1"/>
        <v>4</v>
      </c>
      <c r="R15" s="56">
        <f t="shared" si="1"/>
        <v>40</v>
      </c>
      <c r="S15" s="56">
        <f t="shared" si="1"/>
        <v>89</v>
      </c>
      <c r="T15" s="56">
        <f t="shared" si="1"/>
        <v>86</v>
      </c>
      <c r="U15" s="56">
        <f t="shared" si="1"/>
        <v>25</v>
      </c>
      <c r="V15" s="58">
        <f t="shared" si="1"/>
        <v>2</v>
      </c>
      <c r="W15" s="56">
        <f t="shared" si="1"/>
        <v>4</v>
      </c>
      <c r="X15" s="56">
        <f t="shared" si="1"/>
        <v>6</v>
      </c>
      <c r="Y15" s="56">
        <f t="shared" si="1"/>
        <v>109</v>
      </c>
      <c r="Z15" s="56">
        <f t="shared" si="1"/>
        <v>53</v>
      </c>
      <c r="AA15" s="56">
        <f t="shared" si="1"/>
        <v>87</v>
      </c>
      <c r="AB15" s="56">
        <f t="shared" si="1"/>
        <v>20</v>
      </c>
      <c r="AC15" s="56">
        <f t="shared" si="1"/>
        <v>30</v>
      </c>
      <c r="AD15" s="59">
        <f t="shared" si="1"/>
        <v>5</v>
      </c>
      <c r="AE15" s="56">
        <f t="shared" si="1"/>
        <v>5</v>
      </c>
      <c r="AF15" s="56">
        <f t="shared" si="1"/>
        <v>3</v>
      </c>
      <c r="AH15" s="25" t="b">
        <f>D15=SUM(E15:G15)</f>
        <v>1</v>
      </c>
      <c r="AI15" s="25" t="b">
        <f>D15=SUM(H15:J15)</f>
        <v>1</v>
      </c>
      <c r="AJ15" s="25" t="b">
        <f>D15=SUM(K15:O15)</f>
        <v>1</v>
      </c>
      <c r="AK15" s="25" t="b">
        <f>D15=SUM(P15:X15)</f>
        <v>1</v>
      </c>
      <c r="AL15" s="25" t="b">
        <f>D15=SUM(Y15:AF15)</f>
        <v>1</v>
      </c>
    </row>
    <row r="16" spans="2:38" s="61" customFormat="1" ht="31.5" x14ac:dyDescent="0.25">
      <c r="B16" s="125" t="s">
        <v>48</v>
      </c>
      <c r="C16" s="126"/>
      <c r="D16" s="60">
        <f>D10+D15</f>
        <v>384</v>
      </c>
      <c r="E16" s="60">
        <f t="shared" ref="E16:AF16" si="2">E10+E15</f>
        <v>193</v>
      </c>
      <c r="F16" s="60">
        <f t="shared" si="2"/>
        <v>167</v>
      </c>
      <c r="G16" s="60">
        <f t="shared" si="2"/>
        <v>24</v>
      </c>
      <c r="H16" s="60">
        <f t="shared" si="2"/>
        <v>100</v>
      </c>
      <c r="I16" s="60">
        <f t="shared" si="2"/>
        <v>250</v>
      </c>
      <c r="J16" s="60">
        <f t="shared" si="2"/>
        <v>34</v>
      </c>
      <c r="K16" s="60">
        <f t="shared" si="2"/>
        <v>332</v>
      </c>
      <c r="L16" s="60">
        <f t="shared" si="2"/>
        <v>6</v>
      </c>
      <c r="M16" s="60">
        <f t="shared" si="2"/>
        <v>36</v>
      </c>
      <c r="N16" s="60">
        <f t="shared" si="2"/>
        <v>10</v>
      </c>
      <c r="O16" s="60">
        <f t="shared" si="2"/>
        <v>0</v>
      </c>
      <c r="P16" s="60">
        <f t="shared" si="2"/>
        <v>67</v>
      </c>
      <c r="Q16" s="60">
        <f t="shared" si="2"/>
        <v>7</v>
      </c>
      <c r="R16" s="60">
        <f t="shared" si="2"/>
        <v>52</v>
      </c>
      <c r="S16" s="60">
        <f t="shared" si="2"/>
        <v>106</v>
      </c>
      <c r="T16" s="60">
        <f t="shared" si="2"/>
        <v>107</v>
      </c>
      <c r="U16" s="60">
        <f t="shared" si="2"/>
        <v>26</v>
      </c>
      <c r="V16" s="60">
        <f t="shared" si="2"/>
        <v>6</v>
      </c>
      <c r="W16" s="60">
        <f t="shared" si="2"/>
        <v>6</v>
      </c>
      <c r="X16" s="60">
        <f t="shared" si="2"/>
        <v>7</v>
      </c>
      <c r="Y16" s="60">
        <f t="shared" si="2"/>
        <v>127</v>
      </c>
      <c r="Z16" s="60">
        <f t="shared" si="2"/>
        <v>67</v>
      </c>
      <c r="AA16" s="60">
        <f t="shared" si="2"/>
        <v>98</v>
      </c>
      <c r="AB16" s="60">
        <f t="shared" si="2"/>
        <v>24</v>
      </c>
      <c r="AC16" s="60">
        <f t="shared" si="2"/>
        <v>34</v>
      </c>
      <c r="AD16" s="60">
        <f t="shared" si="2"/>
        <v>6</v>
      </c>
      <c r="AE16" s="60">
        <f t="shared" si="2"/>
        <v>13</v>
      </c>
      <c r="AF16" s="60">
        <f t="shared" si="2"/>
        <v>15</v>
      </c>
      <c r="AH16" s="25" t="b">
        <f>D16=SUM(E16:G16)</f>
        <v>1</v>
      </c>
      <c r="AI16" s="25" t="b">
        <f>D16=SUM(H16:J16)</f>
        <v>1</v>
      </c>
      <c r="AJ16" s="25" t="b">
        <f>D16=SUM(K16:O16)</f>
        <v>1</v>
      </c>
      <c r="AK16" s="25" t="b">
        <f>D16=SUM(P16:X16)</f>
        <v>1</v>
      </c>
      <c r="AL16" s="25" t="b">
        <f>D16=SUM(Y16:AF16)</f>
        <v>1</v>
      </c>
    </row>
    <row r="17" spans="2:38" x14ac:dyDescent="0.25"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3"/>
      <c r="AH17" s="2"/>
      <c r="AI17" s="2"/>
      <c r="AJ17" s="2"/>
      <c r="AK17" s="2"/>
      <c r="AL17" s="2"/>
    </row>
    <row r="18" spans="2:38" ht="26.25" x14ac:dyDescent="0.25">
      <c r="B18" s="120" t="s">
        <v>49</v>
      </c>
      <c r="C18" s="121"/>
      <c r="D18" s="117" t="s">
        <v>50</v>
      </c>
      <c r="E18" s="118"/>
      <c r="F18" s="118"/>
      <c r="G18" s="118"/>
      <c r="H18" s="119"/>
      <c r="I18" s="114" t="s">
        <v>51</v>
      </c>
      <c r="J18" s="115"/>
      <c r="K18" s="115"/>
      <c r="L18" s="115"/>
      <c r="M18" s="116"/>
      <c r="N18" s="111" t="s">
        <v>52</v>
      </c>
      <c r="O18" s="112"/>
      <c r="P18" s="112"/>
      <c r="Q18" s="112"/>
      <c r="R18" s="113"/>
      <c r="S18" s="108" t="s">
        <v>53</v>
      </c>
      <c r="T18" s="109"/>
      <c r="U18" s="109"/>
      <c r="V18" s="109"/>
      <c r="W18" s="110"/>
      <c r="X18" s="105" t="s">
        <v>54</v>
      </c>
      <c r="Y18" s="106"/>
      <c r="Z18" s="106"/>
      <c r="AA18" s="106"/>
      <c r="AB18" s="107"/>
      <c r="AC18" s="122" t="s">
        <v>55</v>
      </c>
      <c r="AD18" s="123"/>
      <c r="AE18" s="124"/>
      <c r="AF18" s="64"/>
      <c r="AH18" s="65"/>
      <c r="AI18" s="65"/>
      <c r="AJ18" s="65"/>
      <c r="AK18" s="65"/>
      <c r="AL18" s="65"/>
    </row>
    <row r="19" spans="2:38" ht="94.5" x14ac:dyDescent="0.25">
      <c r="B19" s="66" t="s">
        <v>43</v>
      </c>
      <c r="C19" s="67" t="s">
        <v>44</v>
      </c>
      <c r="D19" s="68" t="s">
        <v>41</v>
      </c>
      <c r="E19" s="69" t="s">
        <v>42</v>
      </c>
      <c r="F19" s="70" t="s">
        <v>43</v>
      </c>
      <c r="G19" s="71" t="s">
        <v>44</v>
      </c>
      <c r="H19" s="72" t="s">
        <v>56</v>
      </c>
      <c r="I19" s="73" t="s">
        <v>41</v>
      </c>
      <c r="J19" s="74" t="s">
        <v>42</v>
      </c>
      <c r="K19" s="75" t="s">
        <v>43</v>
      </c>
      <c r="L19" s="76" t="s">
        <v>44</v>
      </c>
      <c r="M19" s="77" t="s">
        <v>56</v>
      </c>
      <c r="N19" s="78" t="s">
        <v>41</v>
      </c>
      <c r="O19" s="79" t="s">
        <v>42</v>
      </c>
      <c r="P19" s="80" t="s">
        <v>43</v>
      </c>
      <c r="Q19" s="81" t="s">
        <v>44</v>
      </c>
      <c r="R19" s="82" t="s">
        <v>56</v>
      </c>
      <c r="S19" s="83" t="s">
        <v>41</v>
      </c>
      <c r="T19" s="84" t="s">
        <v>42</v>
      </c>
      <c r="U19" s="85" t="s">
        <v>43</v>
      </c>
      <c r="V19" s="86" t="s">
        <v>44</v>
      </c>
      <c r="W19" s="87" t="s">
        <v>56</v>
      </c>
      <c r="X19" s="88" t="s">
        <v>41</v>
      </c>
      <c r="Y19" s="89" t="s">
        <v>42</v>
      </c>
      <c r="Z19" s="90" t="s">
        <v>43</v>
      </c>
      <c r="AA19" s="91" t="s">
        <v>44</v>
      </c>
      <c r="AB19" s="92" t="s">
        <v>56</v>
      </c>
      <c r="AC19" s="93" t="s">
        <v>57</v>
      </c>
      <c r="AD19" s="93" t="s">
        <v>58</v>
      </c>
      <c r="AE19" s="93" t="s">
        <v>59</v>
      </c>
      <c r="AF19" s="64"/>
      <c r="AH19" s="94"/>
      <c r="AI19" s="94"/>
      <c r="AJ19" s="94"/>
      <c r="AK19" s="94"/>
      <c r="AL19" s="94"/>
    </row>
    <row r="20" spans="2:38" ht="26.25" x14ac:dyDescent="0.25">
      <c r="B20" s="95">
        <v>15</v>
      </c>
      <c r="C20" s="95">
        <v>0</v>
      </c>
      <c r="D20" s="95">
        <v>31</v>
      </c>
      <c r="E20" s="95">
        <v>30</v>
      </c>
      <c r="F20" s="95">
        <v>346</v>
      </c>
      <c r="G20" s="95">
        <v>85</v>
      </c>
      <c r="H20" s="95">
        <f>SUM(D20:G20)</f>
        <v>492</v>
      </c>
      <c r="I20" s="96">
        <v>0</v>
      </c>
      <c r="J20" s="96">
        <v>0</v>
      </c>
      <c r="K20" s="96">
        <v>1</v>
      </c>
      <c r="L20" s="96">
        <v>1</v>
      </c>
      <c r="M20" s="96">
        <f>SUM(I20:L20)</f>
        <v>2</v>
      </c>
      <c r="N20" s="97">
        <v>0</v>
      </c>
      <c r="O20" s="97">
        <v>0</v>
      </c>
      <c r="P20" s="97">
        <v>0</v>
      </c>
      <c r="Q20" s="97">
        <v>2</v>
      </c>
      <c r="R20" s="97">
        <f>SUM(N20:Q20)</f>
        <v>2</v>
      </c>
      <c r="S20" s="98">
        <v>26</v>
      </c>
      <c r="T20" s="98">
        <v>21</v>
      </c>
      <c r="U20" s="98">
        <v>159</v>
      </c>
      <c r="V20" s="98">
        <v>199</v>
      </c>
      <c r="W20" s="98">
        <f>SUM(S20:V20)</f>
        <v>405</v>
      </c>
      <c r="X20" s="99">
        <v>0</v>
      </c>
      <c r="Y20" s="99">
        <v>0</v>
      </c>
      <c r="Z20" s="99">
        <v>103</v>
      </c>
      <c r="AA20" s="99">
        <v>2</v>
      </c>
      <c r="AB20" s="99">
        <f>SUM(X20:AA20)</f>
        <v>105</v>
      </c>
      <c r="AC20" s="95">
        <v>0</v>
      </c>
      <c r="AD20" s="95">
        <v>3</v>
      </c>
      <c r="AE20" s="95">
        <v>5</v>
      </c>
      <c r="AF20" s="64"/>
      <c r="AH20" s="100"/>
      <c r="AI20" s="100"/>
      <c r="AJ20" s="100"/>
      <c r="AK20" s="100"/>
      <c r="AL20" s="100"/>
    </row>
  </sheetData>
  <mergeCells count="21">
    <mergeCell ref="B1:AE1"/>
    <mergeCell ref="AH2:AL2"/>
    <mergeCell ref="B3:C5"/>
    <mergeCell ref="D3:D5"/>
    <mergeCell ref="E3:G4"/>
    <mergeCell ref="H3:J4"/>
    <mergeCell ref="K3:O4"/>
    <mergeCell ref="P3:X3"/>
    <mergeCell ref="Y3:AF3"/>
    <mergeCell ref="AC18:AE18"/>
    <mergeCell ref="B6:B9"/>
    <mergeCell ref="B10:C10"/>
    <mergeCell ref="B11:B14"/>
    <mergeCell ref="B15:C15"/>
    <mergeCell ref="B16:C16"/>
    <mergeCell ref="B18:C18"/>
    <mergeCell ref="D18:H18"/>
    <mergeCell ref="I18:M18"/>
    <mergeCell ref="N18:R18"/>
    <mergeCell ref="S18:W18"/>
    <mergeCell ref="X18:AB18"/>
  </mergeCells>
  <conditionalFormatting sqref="AH6:AL16">
    <cfRule type="cellIs" dxfId="0" priority="1" operator="equal">
      <formula>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Wellness</dc:creator>
  <cp:lastModifiedBy>wellness life</cp:lastModifiedBy>
  <dcterms:created xsi:type="dcterms:W3CDTF">2026-08-05T04:20:23Z</dcterms:created>
  <dcterms:modified xsi:type="dcterms:W3CDTF">2026-08-05T12:34:05Z</dcterms:modified>
</cp:coreProperties>
</file>