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RT\2026 JULY\Detailed Report\"/>
    </mc:Choice>
  </mc:AlternateContent>
  <bookViews>
    <workbookView xWindow="0" yWindow="0" windowWidth="28800" windowHeight="12330" activeTab="6"/>
  </bookViews>
  <sheets>
    <sheet name="01st to 07th July 2026" sheetId="11" r:id="rId1"/>
    <sheet name="08th to 14th July 2026" sheetId="13" r:id="rId2"/>
    <sheet name="Sheet1" sheetId="12" r:id="rId3"/>
    <sheet name="Sheet2" sheetId="14" r:id="rId4"/>
    <sheet name="Sheet3" sheetId="15" r:id="rId5"/>
    <sheet name="Sheet4" sheetId="16" r:id="rId6"/>
    <sheet name="Sheet5" sheetId="17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4" l="1"/>
  <c r="E8" i="14"/>
  <c r="C13" i="14"/>
  <c r="C8" i="14"/>
  <c r="C14" i="14" s="1"/>
  <c r="D13" i="14"/>
  <c r="D8" i="14"/>
  <c r="D14" i="14" s="1"/>
  <c r="K15" i="13" l="1"/>
  <c r="AK12" i="13"/>
  <c r="AB20" i="13"/>
  <c r="W20" i="13"/>
  <c r="R20" i="13"/>
  <c r="H20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J15" i="13"/>
  <c r="I15" i="13"/>
  <c r="H15" i="13"/>
  <c r="G15" i="13"/>
  <c r="F15" i="13"/>
  <c r="E15" i="13"/>
  <c r="D15" i="13"/>
  <c r="AL14" i="13"/>
  <c r="AK14" i="13"/>
  <c r="AJ14" i="13"/>
  <c r="AI14" i="13"/>
  <c r="AH14" i="13"/>
  <c r="AL13" i="13"/>
  <c r="AK13" i="13"/>
  <c r="AJ13" i="13"/>
  <c r="AI13" i="13"/>
  <c r="AH13" i="13"/>
  <c r="AL12" i="13"/>
  <c r="AJ12" i="13"/>
  <c r="AI12" i="13"/>
  <c r="AH12" i="13"/>
  <c r="AL11" i="13"/>
  <c r="AK11" i="13"/>
  <c r="AJ11" i="13"/>
  <c r="AI11" i="13"/>
  <c r="AH11" i="13"/>
  <c r="AF10" i="13"/>
  <c r="AF16" i="13" s="1"/>
  <c r="AE10" i="13"/>
  <c r="AE16" i="13" s="1"/>
  <c r="AD10" i="13"/>
  <c r="AC10" i="13"/>
  <c r="AB10" i="13"/>
  <c r="AA10" i="13"/>
  <c r="Z10" i="13"/>
  <c r="Y10" i="13"/>
  <c r="X10" i="13"/>
  <c r="X16" i="13" s="1"/>
  <c r="W10" i="13"/>
  <c r="W16" i="13" s="1"/>
  <c r="V10" i="13"/>
  <c r="V16" i="13" s="1"/>
  <c r="U10" i="13"/>
  <c r="T10" i="13"/>
  <c r="S10" i="13"/>
  <c r="R10" i="13"/>
  <c r="Q10" i="13"/>
  <c r="P10" i="13"/>
  <c r="O10" i="13"/>
  <c r="O16" i="13" s="1"/>
  <c r="N10" i="13"/>
  <c r="M10" i="13"/>
  <c r="L10" i="13"/>
  <c r="L16" i="13" s="1"/>
  <c r="J10" i="13"/>
  <c r="I10" i="13"/>
  <c r="H10" i="13"/>
  <c r="H16" i="13" s="1"/>
  <c r="G10" i="13"/>
  <c r="G16" i="13" s="1"/>
  <c r="F10" i="13"/>
  <c r="E10" i="13"/>
  <c r="D10" i="13"/>
  <c r="AL9" i="13"/>
  <c r="AK9" i="13"/>
  <c r="AJ9" i="13"/>
  <c r="AI9" i="13"/>
  <c r="AH9" i="13"/>
  <c r="AL8" i="13"/>
  <c r="AK8" i="13"/>
  <c r="AJ8" i="13"/>
  <c r="AI8" i="13"/>
  <c r="AH8" i="13"/>
  <c r="AL7" i="13"/>
  <c r="AK7" i="13"/>
  <c r="AJ7" i="13"/>
  <c r="AI7" i="13"/>
  <c r="AH7" i="13"/>
  <c r="AL6" i="13"/>
  <c r="AK6" i="13"/>
  <c r="AJ6" i="13"/>
  <c r="AI6" i="13"/>
  <c r="AH6" i="13"/>
  <c r="R16" i="13" l="1"/>
  <c r="J16" i="13"/>
  <c r="AD16" i="13"/>
  <c r="AJ15" i="13"/>
  <c r="S16" i="13"/>
  <c r="AJ10" i="13"/>
  <c r="Q16" i="13"/>
  <c r="D16" i="13"/>
  <c r="AJ16" i="13" s="1"/>
  <c r="N16" i="13"/>
  <c r="AC16" i="13"/>
  <c r="Z16" i="13"/>
  <c r="U16" i="13"/>
  <c r="T16" i="13"/>
  <c r="Y16" i="13"/>
  <c r="P16" i="13"/>
  <c r="M16" i="13"/>
  <c r="F16" i="13"/>
  <c r="AB16" i="13"/>
  <c r="AA16" i="13"/>
  <c r="AI15" i="13"/>
  <c r="E16" i="13"/>
  <c r="AI10" i="13"/>
  <c r="AL10" i="13"/>
  <c r="I16" i="13"/>
  <c r="AI16" i="13" s="1"/>
  <c r="AH15" i="13"/>
  <c r="AL15" i="13"/>
  <c r="K16" i="13"/>
  <c r="AH10" i="13"/>
  <c r="AK15" i="13"/>
  <c r="AK10" i="13"/>
  <c r="AI11" i="11"/>
  <c r="AK16" i="13" l="1"/>
  <c r="AH16" i="13"/>
  <c r="AL16" i="13"/>
  <c r="AB20" i="11"/>
  <c r="W20" i="11"/>
  <c r="R20" i="11"/>
  <c r="H20" i="11"/>
  <c r="AK13" i="11"/>
  <c r="AF10" i="11" l="1"/>
  <c r="G15" i="11" l="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F15" i="11"/>
  <c r="E15" i="11"/>
  <c r="D15" i="11"/>
  <c r="D10" i="11" l="1"/>
  <c r="E10" i="11"/>
  <c r="E16" i="11" s="1"/>
  <c r="F10" i="11"/>
  <c r="F16" i="11" s="1"/>
  <c r="G10" i="11"/>
  <c r="G16" i="11" s="1"/>
  <c r="H10" i="11"/>
  <c r="H16" i="11" s="1"/>
  <c r="I10" i="11"/>
  <c r="I16" i="11" s="1"/>
  <c r="J10" i="11"/>
  <c r="J16" i="11" s="1"/>
  <c r="K10" i="11"/>
  <c r="K16" i="11" s="1"/>
  <c r="L10" i="11"/>
  <c r="M10" i="11"/>
  <c r="N10" i="11"/>
  <c r="O10" i="11"/>
  <c r="P10" i="11"/>
  <c r="Q10" i="11"/>
  <c r="Q16" i="11" s="1"/>
  <c r="R10" i="11"/>
  <c r="R16" i="11" s="1"/>
  <c r="S10" i="11"/>
  <c r="S16" i="11" s="1"/>
  <c r="T10" i="11"/>
  <c r="T16" i="11" s="1"/>
  <c r="U10" i="11"/>
  <c r="U16" i="11" s="1"/>
  <c r="V10" i="11"/>
  <c r="V16" i="11" s="1"/>
  <c r="W10" i="11"/>
  <c r="W16" i="11" s="1"/>
  <c r="X10" i="11"/>
  <c r="Y10" i="11"/>
  <c r="Z10" i="11"/>
  <c r="AA10" i="11"/>
  <c r="AB10" i="11"/>
  <c r="AC10" i="11"/>
  <c r="AC16" i="11" s="1"/>
  <c r="AD10" i="11"/>
  <c r="AD16" i="11" s="1"/>
  <c r="AE10" i="11"/>
  <c r="AE16" i="11" s="1"/>
  <c r="AF16" i="11"/>
  <c r="AH7" i="11"/>
  <c r="AB16" i="11" l="1"/>
  <c r="P16" i="11"/>
  <c r="D16" i="11"/>
  <c r="AA16" i="11"/>
  <c r="O16" i="11"/>
  <c r="Z16" i="11"/>
  <c r="N16" i="11"/>
  <c r="Y16" i="11"/>
  <c r="M16" i="11"/>
  <c r="X16" i="11"/>
  <c r="L16" i="11"/>
  <c r="AI9" i="11"/>
  <c r="AH16" i="11" l="1"/>
  <c r="AJ16" i="11"/>
  <c r="AL16" i="11"/>
  <c r="AK16" i="11"/>
  <c r="AI16" i="11"/>
  <c r="AJ15" i="11"/>
  <c r="AL14" i="11"/>
  <c r="AK14" i="11"/>
  <c r="AJ14" i="11"/>
  <c r="AI14" i="11"/>
  <c r="AH14" i="11"/>
  <c r="AL13" i="11"/>
  <c r="AJ13" i="11"/>
  <c r="AH13" i="11"/>
  <c r="AI13" i="11"/>
  <c r="AL12" i="11"/>
  <c r="AK12" i="11"/>
  <c r="AJ12" i="11"/>
  <c r="AI12" i="11"/>
  <c r="AH12" i="11"/>
  <c r="AL11" i="11"/>
  <c r="AK11" i="11"/>
  <c r="AJ11" i="11"/>
  <c r="AH11" i="11"/>
  <c r="AJ10" i="11"/>
  <c r="AI10" i="11"/>
  <c r="AL9" i="11"/>
  <c r="AK9" i="11"/>
  <c r="AJ9" i="11"/>
  <c r="AH9" i="11"/>
  <c r="AL8" i="11"/>
  <c r="AK8" i="11"/>
  <c r="AJ8" i="11"/>
  <c r="AI8" i="11"/>
  <c r="AH8" i="11"/>
  <c r="AL7" i="11"/>
  <c r="AK7" i="11"/>
  <c r="AJ7" i="11"/>
  <c r="AI7" i="11"/>
  <c r="AL6" i="11"/>
  <c r="AK6" i="11"/>
  <c r="AJ6" i="11"/>
  <c r="AI6" i="11"/>
  <c r="AH6" i="11"/>
  <c r="AK10" i="11" l="1"/>
  <c r="AH15" i="11"/>
  <c r="AL15" i="11"/>
  <c r="AH10" i="11"/>
  <c r="AL10" i="11"/>
  <c r="AI15" i="11"/>
  <c r="AK15" i="11"/>
</calcChain>
</file>

<file path=xl/sharedStrings.xml><?xml version="1.0" encoding="utf-8"?>
<sst xmlns="http://schemas.openxmlformats.org/spreadsheetml/2006/main" count="387" uniqueCount="75">
  <si>
    <t>Gender</t>
  </si>
  <si>
    <t>Mode of Session</t>
  </si>
  <si>
    <t>Referral type</t>
  </si>
  <si>
    <t xml:space="preserve">Range of concern addressed </t>
  </si>
  <si>
    <t>Stakeholder</t>
  </si>
  <si>
    <t>Session</t>
  </si>
  <si>
    <t>Referral</t>
  </si>
  <si>
    <t>Concern</t>
  </si>
  <si>
    <t>Others/
Not to say</t>
  </si>
  <si>
    <t>In person</t>
  </si>
  <si>
    <t>Online</t>
  </si>
  <si>
    <t>Phone</t>
  </si>
  <si>
    <t>Self</t>
  </si>
  <si>
    <t>Director/
Kushal Calls</t>
  </si>
  <si>
    <t>Friened/
Family</t>
  </si>
  <si>
    <t>Career /
 Acad,</t>
  </si>
  <si>
    <t>Inter-
personal</t>
  </si>
  <si>
    <t>Self-
Devlp</t>
  </si>
  <si>
    <t>Clinical</t>
  </si>
  <si>
    <t>Addiction</t>
  </si>
  <si>
    <t>Medical /
 Health issues</t>
  </si>
  <si>
    <t>Suicidal Ideation
 / Self-harm</t>
  </si>
  <si>
    <t>UG</t>
  </si>
  <si>
    <t>PG</t>
  </si>
  <si>
    <t>Ph.D</t>
  </si>
  <si>
    <t>Post Doc
Proj Asso</t>
  </si>
  <si>
    <t>No. of New Cases</t>
  </si>
  <si>
    <t>WLN Ctr</t>
  </si>
  <si>
    <t>Team A</t>
  </si>
  <si>
    <t>Your Dost</t>
  </si>
  <si>
    <t>Myndwell</t>
  </si>
  <si>
    <t>No. of Follow-up cases</t>
  </si>
  <si>
    <t>Total</t>
  </si>
  <si>
    <t>Total Cases</t>
  </si>
  <si>
    <t>Male</t>
  </si>
  <si>
    <t>Female</t>
  </si>
  <si>
    <t>Total no. of sessions</t>
  </si>
  <si>
    <t>Early Prevention warning</t>
  </si>
  <si>
    <t>As of date no. of active cases</t>
  </si>
  <si>
    <t>Mode of enquiries</t>
  </si>
  <si>
    <t>Thro
Calls
Outgoing</t>
  </si>
  <si>
    <t>Clients undergoing more than 4 sessions in a month</t>
  </si>
  <si>
    <t>No. of cases which did not turn-up even when it was advised</t>
  </si>
  <si>
    <t>Unrecognised</t>
  </si>
  <si>
    <t>VERTICALS 
NEW / FOLLOW UP</t>
  </si>
  <si>
    <r>
      <t xml:space="preserve">Total no. of cases                  </t>
    </r>
    <r>
      <rPr>
        <b/>
        <sz val="22"/>
        <color theme="0"/>
        <rFont val="Calibri"/>
        <family val="2"/>
        <scheme val="minor"/>
      </rPr>
      <t xml:space="preserve">NEW </t>
    </r>
  </si>
  <si>
    <r>
      <t xml:space="preserve">Total no. of cases              </t>
    </r>
    <r>
      <rPr>
        <b/>
        <sz val="22"/>
        <color theme="0"/>
        <rFont val="Calibri"/>
        <family val="2"/>
        <scheme val="minor"/>
      </rPr>
      <t>FOLLOW-UP</t>
    </r>
  </si>
  <si>
    <t>Thro Mail</t>
  </si>
  <si>
    <t>Verification reference</t>
  </si>
  <si>
    <t>Not Able to Identify</t>
  </si>
  <si>
    <t>Anxiety/
Depresn/
Panic / OCD</t>
  </si>
  <si>
    <t>Acute
 Stress / Trauma</t>
  </si>
  <si>
    <t xml:space="preserve"> </t>
  </si>
  <si>
    <t xml:space="preserve">   </t>
  </si>
  <si>
    <t>Grand Total</t>
  </si>
  <si>
    <t>Mitr/Saathi</t>
  </si>
  <si>
    <t>Thro Calls
Recd.</t>
  </si>
  <si>
    <t>Employee Family</t>
  </si>
  <si>
    <t>IIT Faculty / Staff</t>
  </si>
  <si>
    <t>Dual Degree</t>
  </si>
  <si>
    <t>Dean/HoD/
Faculty / Insti Hosp</t>
  </si>
  <si>
    <t>Monthly Wellness Report From 01st to 07th July 2026</t>
  </si>
  <si>
    <t>Total Cases from 01st - 07th July</t>
  </si>
  <si>
    <t>Total Cases from 24th - 30th June</t>
  </si>
  <si>
    <t>Difference between 24th - 30th June to 01st - 07th July</t>
  </si>
  <si>
    <t>01st - 07th July</t>
  </si>
  <si>
    <t>24th - 30th June</t>
  </si>
  <si>
    <t>WC</t>
  </si>
  <si>
    <t>YD</t>
  </si>
  <si>
    <t>MW</t>
  </si>
  <si>
    <t>Monthly Wellness Report From 08th to 14th July 2026</t>
  </si>
  <si>
    <t>08th to 14th July 2026</t>
  </si>
  <si>
    <t>01st to 07th July 2026</t>
  </si>
  <si>
    <t>Difference between 01st to 07th July 2026 - 08th to 14th July 2026</t>
  </si>
  <si>
    <t>08st to 14th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</si>
</sst>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5"/>
      <color theme="1"/>
      <name val="Segoe UI Variable Small Semibol"/>
    </font>
    <font>
      <b/>
      <sz val="18"/>
      <color rgb="FFC00000"/>
      <name val="Calibri"/>
      <family val="2"/>
      <scheme val="minor"/>
    </font>
    <font>
      <b/>
      <sz val="20"/>
      <color rgb="FF3333FF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rgb="FFFF2121"/>
      <name val="Calibri"/>
      <family val="2"/>
      <scheme val="minor"/>
    </font>
    <font>
      <b/>
      <sz val="20"/>
      <color rgb="FF001E7E"/>
      <name val="Calibri"/>
      <family val="2"/>
      <scheme val="minor"/>
    </font>
    <font>
      <b/>
      <sz val="18"/>
      <color rgb="FF3333FF"/>
      <name val="Calibri"/>
      <family val="2"/>
      <scheme val="minor"/>
    </font>
    <font>
      <b/>
      <sz val="18"/>
      <color rgb="FFFF2121"/>
      <name val="Calibri"/>
      <family val="2"/>
      <scheme val="minor"/>
    </font>
    <font>
      <b/>
      <sz val="18"/>
      <color rgb="FF9900CC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1"/>
      <name val="Calibri"/>
      <family val="2"/>
    </font>
    <font>
      <b/>
      <sz val="20"/>
      <color theme="1"/>
      <name val="Calibri"/>
      <family val="2"/>
    </font>
    <font>
      <b/>
      <sz val="22"/>
      <color rgb="FF3333FF"/>
      <name val="Calibri"/>
      <family val="2"/>
      <scheme val="minor"/>
    </font>
    <font>
      <b/>
      <sz val="22"/>
      <color rgb="FF0000FF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22"/>
      <color rgb="FF3333FF"/>
      <name val="Calibri"/>
      <family val="2"/>
    </font>
    <font>
      <b/>
      <sz val="22"/>
      <color rgb="FFFF0000"/>
      <name val="Calibri"/>
      <family val="2"/>
    </font>
    <font>
      <b/>
      <sz val="22"/>
      <color theme="1"/>
      <name val="Calibri"/>
      <family val="2"/>
    </font>
    <font>
      <b/>
      <sz val="22"/>
      <color rgb="FF9900CC"/>
      <name val="Calibri"/>
      <family val="2"/>
    </font>
    <font>
      <b/>
      <sz val="24"/>
      <color theme="1"/>
      <name val="Calibri"/>
      <family val="2"/>
    </font>
    <font>
      <b/>
      <sz val="24"/>
      <color theme="1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sz val="22"/>
      <color rgb="FF7030A0"/>
      <name val="Calibri"/>
      <family val="2"/>
    </font>
    <font>
      <b/>
      <sz val="11"/>
      <color rgb="FFFA7D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rgb="FFDBE5F1"/>
        <bgColor rgb="FFDBE5F1"/>
      </patternFill>
    </fill>
    <fill>
      <patternFill patternType="solid">
        <fgColor rgb="FFEEECE1"/>
        <bgColor rgb="FFEEECE1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FFFFEB"/>
        <bgColor rgb="FFFFFFEB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theme="9" tint="0.39997558519241921"/>
        <bgColor rgb="FFFBD4B4"/>
      </patternFill>
    </fill>
    <fill>
      <patternFill patternType="solid">
        <fgColor theme="9" tint="0.39997558519241921"/>
        <bgColor rgb="FFE5DFEC"/>
      </patternFill>
    </fill>
    <fill>
      <patternFill patternType="solid">
        <fgColor theme="9" tint="0.39997558519241921"/>
        <bgColor rgb="FFFDE9D9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BD4B4"/>
      </patternFill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0" fillId="30" borderId="7" applyNumberFormat="0" applyAlignment="0" applyProtection="0"/>
  </cellStyleXfs>
  <cellXfs count="14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textRotation="90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 textRotation="90" wrapText="1"/>
      <protection locked="0"/>
    </xf>
    <xf numFmtId="0" fontId="4" fillId="10" borderId="1" xfId="0" applyFont="1" applyFill="1" applyBorder="1" applyAlignment="1" applyProtection="1">
      <alignment horizontal="center" vertical="center" textRotation="90"/>
      <protection locked="0"/>
    </xf>
    <xf numFmtId="0" fontId="10" fillId="10" borderId="1" xfId="0" applyFont="1" applyFill="1" applyBorder="1" applyAlignment="1" applyProtection="1">
      <alignment horizontal="center" vertical="center" textRotation="90"/>
      <protection locked="0"/>
    </xf>
    <xf numFmtId="0" fontId="11" fillId="10" borderId="1" xfId="0" applyFont="1" applyFill="1" applyBorder="1" applyAlignment="1" applyProtection="1">
      <alignment horizontal="center" vertical="center" textRotation="90"/>
      <protection locked="0"/>
    </xf>
    <xf numFmtId="0" fontId="4" fillId="9" borderId="1" xfId="0" applyFont="1" applyFill="1" applyBorder="1" applyAlignment="1" applyProtection="1">
      <alignment horizontal="center" vertical="center" textRotation="90"/>
      <protection locked="0"/>
    </xf>
    <xf numFmtId="0" fontId="10" fillId="9" borderId="1" xfId="0" applyFont="1" applyFill="1" applyBorder="1" applyAlignment="1" applyProtection="1">
      <alignment horizontal="center" vertical="center" textRotation="90"/>
      <protection locked="0"/>
    </xf>
    <xf numFmtId="0" fontId="11" fillId="9" borderId="1" xfId="0" applyFont="1" applyFill="1" applyBorder="1" applyAlignment="1" applyProtection="1">
      <alignment horizontal="center" vertical="center" textRotation="90"/>
      <protection locked="0"/>
    </xf>
    <xf numFmtId="0" fontId="4" fillId="11" borderId="1" xfId="0" applyFont="1" applyFill="1" applyBorder="1" applyAlignment="1" applyProtection="1">
      <alignment horizontal="center" vertical="center" textRotation="90"/>
      <protection locked="0"/>
    </xf>
    <xf numFmtId="0" fontId="10" fillId="11" borderId="1" xfId="0" applyFont="1" applyFill="1" applyBorder="1" applyAlignment="1" applyProtection="1">
      <alignment horizontal="center" vertical="center" textRotation="90"/>
      <protection locked="0"/>
    </xf>
    <xf numFmtId="0" fontId="11" fillId="11" borderId="1" xfId="0" applyFont="1" applyFill="1" applyBorder="1" applyAlignment="1" applyProtection="1">
      <alignment horizontal="center" vertical="center" textRotation="90"/>
      <protection locked="0"/>
    </xf>
    <xf numFmtId="0" fontId="4" fillId="7" borderId="1" xfId="0" applyFont="1" applyFill="1" applyBorder="1" applyAlignment="1" applyProtection="1">
      <alignment horizontal="center" vertical="center" textRotation="90"/>
      <protection locked="0"/>
    </xf>
    <xf numFmtId="0" fontId="10" fillId="7" borderId="1" xfId="0" applyFont="1" applyFill="1" applyBorder="1" applyAlignment="1" applyProtection="1">
      <alignment horizontal="center" vertical="center" textRotation="90"/>
      <protection locked="0"/>
    </xf>
    <xf numFmtId="0" fontId="11" fillId="7" borderId="1" xfId="0" applyFont="1" applyFill="1" applyBorder="1" applyAlignment="1" applyProtection="1">
      <alignment horizontal="center" vertical="center" textRotation="90"/>
      <protection locked="0"/>
    </xf>
    <xf numFmtId="0" fontId="4" fillId="4" borderId="1" xfId="0" applyFont="1" applyFill="1" applyBorder="1" applyAlignment="1" applyProtection="1">
      <alignment horizontal="center" vertical="center" textRotation="90"/>
      <protection locked="0"/>
    </xf>
    <xf numFmtId="0" fontId="10" fillId="4" borderId="1" xfId="0" applyFont="1" applyFill="1" applyBorder="1" applyAlignment="1" applyProtection="1">
      <alignment horizontal="center" vertical="center" textRotation="90"/>
      <protection locked="0"/>
    </xf>
    <xf numFmtId="0" fontId="11" fillId="4" borderId="1" xfId="0" applyFont="1" applyFill="1" applyBorder="1" applyAlignment="1" applyProtection="1">
      <alignment horizontal="center" vertical="center" textRotation="90"/>
      <protection locked="0"/>
    </xf>
    <xf numFmtId="0" fontId="10" fillId="8" borderId="1" xfId="0" applyFont="1" applyFill="1" applyBorder="1" applyAlignment="1" applyProtection="1">
      <alignment horizontal="center" vertical="center" textRotation="90"/>
      <protection locked="0"/>
    </xf>
    <xf numFmtId="0" fontId="11" fillId="8" borderId="1" xfId="0" applyFont="1" applyFill="1" applyBorder="1" applyAlignment="1" applyProtection="1">
      <alignment horizontal="center" vertical="center" textRotation="90"/>
      <protection locked="0"/>
    </xf>
    <xf numFmtId="0" fontId="2" fillId="6" borderId="1" xfId="0" applyFont="1" applyFill="1" applyBorder="1" applyAlignment="1" applyProtection="1">
      <alignment horizontal="center" textRotation="90" wrapText="1"/>
      <protection locked="0"/>
    </xf>
    <xf numFmtId="0" fontId="2" fillId="8" borderId="1" xfId="0" applyFont="1" applyFill="1" applyBorder="1" applyAlignment="1" applyProtection="1">
      <alignment horizontal="center" textRotation="90" wrapText="1"/>
      <protection locked="0"/>
    </xf>
    <xf numFmtId="0" fontId="2" fillId="4" borderId="1" xfId="0" applyFont="1" applyFill="1" applyBorder="1" applyAlignment="1" applyProtection="1">
      <alignment horizontal="center" textRotation="90" wrapText="1"/>
      <protection locked="0"/>
    </xf>
    <xf numFmtId="0" fontId="0" fillId="0" borderId="0" xfId="0" applyAlignment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 applyProtection="1">
      <alignment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textRotation="90" wrapText="1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8" fillId="10" borderId="1" xfId="0" applyFont="1" applyFill="1" applyBorder="1" applyAlignment="1" applyProtection="1">
      <alignment horizontal="center" vertical="center" textRotation="90"/>
      <protection locked="0"/>
    </xf>
    <xf numFmtId="0" fontId="2" fillId="10" borderId="1" xfId="0" applyFont="1" applyFill="1" applyBorder="1" applyAlignment="1" applyProtection="1">
      <alignment horizontal="center" vertical="center" textRotation="90"/>
      <protection locked="0"/>
    </xf>
    <xf numFmtId="0" fontId="8" fillId="9" borderId="1" xfId="0" applyFont="1" applyFill="1" applyBorder="1" applyAlignment="1" applyProtection="1">
      <alignment horizontal="center" vertical="center" textRotation="90"/>
      <protection locked="0"/>
    </xf>
    <xf numFmtId="0" fontId="2" fillId="9" borderId="1" xfId="0" applyFont="1" applyFill="1" applyBorder="1" applyAlignment="1" applyProtection="1">
      <alignment horizontal="center" vertical="center" textRotation="90"/>
      <protection locked="0"/>
    </xf>
    <xf numFmtId="0" fontId="8" fillId="11" borderId="1" xfId="0" applyFont="1" applyFill="1" applyBorder="1" applyAlignment="1" applyProtection="1">
      <alignment horizontal="center" vertical="center" textRotation="90"/>
      <protection locked="0"/>
    </xf>
    <xf numFmtId="0" fontId="2" fillId="11" borderId="1" xfId="0" applyFont="1" applyFill="1" applyBorder="1" applyAlignment="1" applyProtection="1">
      <alignment horizontal="center" vertical="center" textRotation="90"/>
      <protection locked="0"/>
    </xf>
    <xf numFmtId="0" fontId="8" fillId="7" borderId="1" xfId="0" applyFont="1" applyFill="1" applyBorder="1" applyAlignment="1" applyProtection="1">
      <alignment horizontal="center" vertical="center" textRotation="90"/>
      <protection locked="0"/>
    </xf>
    <xf numFmtId="0" fontId="2" fillId="7" borderId="1" xfId="0" applyFont="1" applyFill="1" applyBorder="1" applyAlignment="1" applyProtection="1">
      <alignment horizontal="center" vertical="center" textRotation="90"/>
      <protection locked="0"/>
    </xf>
    <xf numFmtId="0" fontId="8" fillId="4" borderId="1" xfId="0" applyFont="1" applyFill="1" applyBorder="1" applyAlignment="1" applyProtection="1">
      <alignment horizontal="center" vertical="center" textRotation="90"/>
      <protection locked="0"/>
    </xf>
    <xf numFmtId="0" fontId="2" fillId="4" borderId="1" xfId="0" applyFont="1" applyFill="1" applyBorder="1" applyAlignment="1" applyProtection="1">
      <alignment horizontal="center" vertical="center" textRotation="90"/>
      <protection locked="0"/>
    </xf>
    <xf numFmtId="0" fontId="2" fillId="10" borderId="1" xfId="0" applyFont="1" applyFill="1" applyBorder="1" applyAlignment="1" applyProtection="1">
      <alignment horizontal="center" textRotation="90" wrapText="1"/>
      <protection locked="0"/>
    </xf>
    <xf numFmtId="0" fontId="17" fillId="20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7" fillId="22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0" fillId="2" borderId="0" xfId="0" applyFill="1"/>
    <xf numFmtId="0" fontId="18" fillId="5" borderId="1" xfId="0" applyFont="1" applyFill="1" applyBorder="1" applyAlignment="1" applyProtection="1">
      <alignment horizontal="center" vertical="center" wrapText="1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9" fillId="6" borderId="1" xfId="0" applyFont="1" applyFill="1" applyBorder="1" applyAlignment="1" applyProtection="1">
      <alignment horizontal="center" vertical="center"/>
      <protection locked="0"/>
    </xf>
    <xf numFmtId="0" fontId="19" fillId="8" borderId="1" xfId="0" applyFont="1" applyFill="1" applyBorder="1" applyAlignment="1" applyProtection="1">
      <alignment horizontal="center" vertical="center"/>
      <protection locked="0"/>
    </xf>
    <xf numFmtId="0" fontId="19" fillId="4" borderId="1" xfId="0" applyFont="1" applyFill="1" applyBorder="1" applyAlignment="1" applyProtection="1">
      <alignment horizontal="center" vertical="center"/>
      <protection locked="0"/>
    </xf>
    <xf numFmtId="0" fontId="19" fillId="9" borderId="1" xfId="0" applyFont="1" applyFill="1" applyBorder="1" applyAlignment="1" applyProtection="1">
      <alignment horizontal="center" vertical="center"/>
      <protection locked="0"/>
    </xf>
    <xf numFmtId="0" fontId="20" fillId="9" borderId="1" xfId="0" applyFont="1" applyFill="1" applyBorder="1" applyAlignment="1" applyProtection="1">
      <alignment horizontal="center" vertical="center" wrapText="1"/>
      <protection locked="0"/>
    </xf>
    <xf numFmtId="0" fontId="21" fillId="5" borderId="1" xfId="0" applyFont="1" applyFill="1" applyBorder="1" applyAlignment="1" applyProtection="1">
      <alignment horizontal="center" vertical="center" wrapText="1"/>
      <protection locked="0"/>
    </xf>
    <xf numFmtId="0" fontId="21" fillId="5" borderId="1" xfId="0" applyFont="1" applyFill="1" applyBorder="1" applyAlignment="1" applyProtection="1">
      <alignment horizontal="center" vertical="center"/>
      <protection locked="0"/>
    </xf>
    <xf numFmtId="0" fontId="21" fillId="6" borderId="1" xfId="0" applyFont="1" applyFill="1" applyBorder="1" applyAlignment="1" applyProtection="1">
      <alignment horizontal="center" vertical="center"/>
      <protection locked="0"/>
    </xf>
    <xf numFmtId="0" fontId="21" fillId="8" borderId="1" xfId="0" applyFont="1" applyFill="1" applyBorder="1" applyAlignment="1" applyProtection="1">
      <alignment horizontal="center" vertical="center"/>
      <protection locked="0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0" fontId="21" fillId="9" borderId="1" xfId="0" applyFont="1" applyFill="1" applyBorder="1" applyAlignment="1" applyProtection="1">
      <alignment horizontal="center" vertical="center"/>
      <protection locked="0"/>
    </xf>
    <xf numFmtId="0" fontId="21" fillId="9" borderId="1" xfId="0" applyFont="1" applyFill="1" applyBorder="1" applyAlignment="1" applyProtection="1">
      <alignment horizontal="center" vertical="center" wrapText="1"/>
      <protection locked="0"/>
    </xf>
    <xf numFmtId="0" fontId="19" fillId="5" borderId="1" xfId="0" applyFont="1" applyFill="1" applyBorder="1" applyAlignment="1" applyProtection="1">
      <alignment horizontal="center" vertical="center"/>
      <protection locked="0"/>
    </xf>
    <xf numFmtId="0" fontId="27" fillId="27" borderId="1" xfId="0" applyFont="1" applyFill="1" applyBorder="1" applyAlignment="1" applyProtection="1">
      <alignment horizontal="center" vertical="center"/>
      <protection locked="0"/>
    </xf>
    <xf numFmtId="0" fontId="27" fillId="27" borderId="1" xfId="0" applyFont="1" applyFill="1" applyBorder="1" applyAlignment="1" applyProtection="1">
      <alignment horizontal="center" vertical="center" wrapText="1"/>
      <protection locked="0"/>
    </xf>
    <xf numFmtId="0" fontId="28" fillId="9" borderId="1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textRotation="90" wrapText="1"/>
      <protection locked="0"/>
    </xf>
    <xf numFmtId="0" fontId="12" fillId="2" borderId="1" xfId="0" applyFont="1" applyFill="1" applyBorder="1" applyAlignment="1" applyProtection="1">
      <alignment vertical="center"/>
      <protection locked="0"/>
    </xf>
    <xf numFmtId="0" fontId="18" fillId="3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13" fillId="2" borderId="1" xfId="0" applyFont="1" applyFill="1" applyBorder="1" applyAlignment="1" applyProtection="1">
      <alignment vertical="center"/>
      <protection locked="0"/>
    </xf>
    <xf numFmtId="0" fontId="22" fillId="14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 applyProtection="1">
      <alignment vertical="center"/>
      <protection locked="0"/>
    </xf>
    <xf numFmtId="0" fontId="29" fillId="14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/>
    </xf>
    <xf numFmtId="0" fontId="29" fillId="19" borderId="1" xfId="0" applyFont="1" applyFill="1" applyBorder="1" applyAlignment="1">
      <alignment horizontal="center"/>
    </xf>
    <xf numFmtId="0" fontId="25" fillId="15" borderId="1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0" fontId="26" fillId="23" borderId="1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6" borderId="1" xfId="0" applyFont="1" applyFill="1" applyBorder="1" applyAlignment="1">
      <alignment horizontal="center" vertical="center"/>
    </xf>
    <xf numFmtId="0" fontId="26" fillId="29" borderId="1" xfId="0" applyFont="1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center" textRotation="90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0" fontId="9" fillId="12" borderId="1" xfId="0" applyFont="1" applyFill="1" applyBorder="1" applyAlignment="1" applyProtection="1">
      <alignment horizontal="center" vertical="center" wrapText="1"/>
      <protection locked="0"/>
    </xf>
    <xf numFmtId="0" fontId="9" fillId="13" borderId="1" xfId="0" applyFont="1" applyFill="1" applyBorder="1" applyAlignment="1" applyProtection="1">
      <alignment horizontal="center" vertical="center" wrapText="1"/>
      <protection locked="0"/>
    </xf>
    <xf numFmtId="0" fontId="30" fillId="30" borderId="7" xfId="1"/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9" fillId="12" borderId="1" xfId="0" applyFont="1" applyFill="1" applyBorder="1" applyAlignment="1" applyProtection="1">
      <alignment horizontal="center" vertical="center" wrapText="1"/>
      <protection locked="0"/>
    </xf>
    <xf numFmtId="0" fontId="9" fillId="13" borderId="1" xfId="0" applyFont="1" applyFill="1" applyBorder="1" applyAlignment="1" applyProtection="1">
      <alignment horizontal="center" vertical="center" wrapText="1"/>
      <protection locked="0"/>
    </xf>
    <xf numFmtId="0" fontId="4" fillId="8" borderId="1" xfId="0" applyFont="1" applyFill="1" applyBorder="1" applyAlignment="1" applyProtection="1">
      <alignment horizontal="center" vertical="center" wrapText="1"/>
      <protection locked="0"/>
    </xf>
    <xf numFmtId="0" fontId="27" fillId="28" borderId="1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textRotation="90" wrapText="1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2" fillId="8" borderId="1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4" fillId="10" borderId="1" xfId="0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 applyProtection="1">
      <alignment horizontal="center" vertical="center" wrapText="1"/>
      <protection locked="0"/>
    </xf>
    <xf numFmtId="0" fontId="4" fillId="9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12" fillId="2" borderId="5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8" fillId="3" borderId="5" xfId="0" applyFont="1" applyFill="1" applyBorder="1" applyAlignment="1" applyProtection="1">
      <alignment horizontal="center" vertical="center"/>
      <protection locked="0"/>
    </xf>
    <xf numFmtId="0" fontId="18" fillId="3" borderId="6" xfId="0" applyFont="1" applyFill="1" applyBorder="1" applyAlignment="1" applyProtection="1">
      <alignment horizontal="center" vertical="center"/>
      <protection locked="0"/>
    </xf>
    <xf numFmtId="0" fontId="16" fillId="20" borderId="8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2">
    <cellStyle name="Calculation" xfId="1" builtinId="22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333FF"/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Sheet1!$G$15</c:f>
              <c:strCache>
                <c:ptCount val="1"/>
                <c:pt idx="0">
                  <c:v>24th - 30th June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Sheet1!$H$14:$O$14</c:f>
              <c:strCache>
                <c:ptCount val="8"/>
                <c:pt idx="0">
                  <c:v>UG</c:v>
                </c:pt>
                <c:pt idx="1">
                  <c:v>PG</c:v>
                </c:pt>
                <c:pt idx="2">
                  <c:v>Ph.D</c:v>
                </c:pt>
                <c:pt idx="3">
                  <c:v>Dual Degree</c:v>
                </c:pt>
                <c:pt idx="4">
                  <c:v>IIT Faculty / Staff</c:v>
                </c:pt>
                <c:pt idx="5">
                  <c:v>Employee Family</c:v>
                </c:pt>
                <c:pt idx="6">
                  <c:v>Post Doc
Proj Asso</c:v>
                </c:pt>
                <c:pt idx="7">
                  <c:v>Not Able to Identify</c:v>
                </c:pt>
              </c:strCache>
            </c:strRef>
          </c:cat>
          <c:val>
            <c:numRef>
              <c:f>Sheet1!$H$15:$O$15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7-40C0-B7B0-ED7412A690EA}"/>
            </c:ext>
          </c:extLst>
        </c:ser>
        <c:ser>
          <c:idx val="1"/>
          <c:order val="1"/>
          <c:tx>
            <c:strRef>
              <c:f>Sheet1!$G$16</c:f>
              <c:strCache>
                <c:ptCount val="1"/>
                <c:pt idx="0">
                  <c:v>01st - 07th July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Sheet1!$H$14:$O$14</c:f>
              <c:strCache>
                <c:ptCount val="8"/>
                <c:pt idx="0">
                  <c:v>UG</c:v>
                </c:pt>
                <c:pt idx="1">
                  <c:v>PG</c:v>
                </c:pt>
                <c:pt idx="2">
                  <c:v>Ph.D</c:v>
                </c:pt>
                <c:pt idx="3">
                  <c:v>Dual Degree</c:v>
                </c:pt>
                <c:pt idx="4">
                  <c:v>IIT Faculty / Staff</c:v>
                </c:pt>
                <c:pt idx="5">
                  <c:v>Employee Family</c:v>
                </c:pt>
                <c:pt idx="6">
                  <c:v>Post Doc
Proj Asso</c:v>
                </c:pt>
                <c:pt idx="7">
                  <c:v>Not Able to Identify</c:v>
                </c:pt>
              </c:strCache>
            </c:strRef>
          </c:cat>
          <c:val>
            <c:numRef>
              <c:f>Sheet1!$H$16:$O$16</c:f>
              <c:numCache>
                <c:formatCode>General</c:formatCode>
                <c:ptCount val="8"/>
                <c:pt idx="0">
                  <c:v>29</c:v>
                </c:pt>
                <c:pt idx="1">
                  <c:v>21</c:v>
                </c:pt>
                <c:pt idx="2">
                  <c:v>27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57-40C0-B7B0-ED7412A690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199695488"/>
        <c:axId val="1199702144"/>
      </c:barChart>
      <c:catAx>
        <c:axId val="11996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702144"/>
        <c:crosses val="autoZero"/>
        <c:auto val="1"/>
        <c:lblAlgn val="ctr"/>
        <c:lblOffset val="100"/>
        <c:noMultiLvlLbl val="0"/>
      </c:catAx>
      <c:valAx>
        <c:axId val="11997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69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Sheet1!$F$29</c:f>
              <c:strCache>
                <c:ptCount val="1"/>
                <c:pt idx="0">
                  <c:v>24th - 30th June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Sheet1!$G$28:$O$28</c:f>
              <c:strCache>
                <c:ptCount val="9"/>
                <c:pt idx="0">
                  <c:v>Anxiety/
Depresn/
Panic / OCD</c:v>
                </c:pt>
                <c:pt idx="1">
                  <c:v>Acute
 Stress / Trauma</c:v>
                </c:pt>
                <c:pt idx="2">
                  <c:v>Career /
 Acad,</c:v>
                </c:pt>
                <c:pt idx="3">
                  <c:v>Inter-
personal</c:v>
                </c:pt>
                <c:pt idx="4">
                  <c:v>Self-
Devlp</c:v>
                </c:pt>
                <c:pt idx="5">
                  <c:v>Clinical</c:v>
                </c:pt>
                <c:pt idx="6">
                  <c:v>Addiction</c:v>
                </c:pt>
                <c:pt idx="7">
                  <c:v>Medical /
 Health issues</c:v>
                </c:pt>
                <c:pt idx="8">
                  <c:v>Suicidal Ideation
 / Self-harm</c:v>
                </c:pt>
              </c:strCache>
            </c:strRef>
          </c:cat>
          <c:val>
            <c:numRef>
              <c:f>Sheet1!$G$29:$O$29</c:f>
              <c:numCache>
                <c:formatCode>General</c:formatCode>
                <c:ptCount val="9"/>
                <c:pt idx="0">
                  <c:v>15</c:v>
                </c:pt>
                <c:pt idx="1">
                  <c:v>2</c:v>
                </c:pt>
                <c:pt idx="2">
                  <c:v>14</c:v>
                </c:pt>
                <c:pt idx="3">
                  <c:v>30</c:v>
                </c:pt>
                <c:pt idx="4">
                  <c:v>25</c:v>
                </c:pt>
                <c:pt idx="5">
                  <c:v>8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D-405D-96A4-3C5CFC47308E}"/>
            </c:ext>
          </c:extLst>
        </c:ser>
        <c:ser>
          <c:idx val="1"/>
          <c:order val="1"/>
          <c:tx>
            <c:strRef>
              <c:f>Sheet1!$F$30</c:f>
              <c:strCache>
                <c:ptCount val="1"/>
                <c:pt idx="0">
                  <c:v>01st - 07th July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Sheet1!$G$28:$O$28</c:f>
              <c:strCache>
                <c:ptCount val="9"/>
                <c:pt idx="0">
                  <c:v>Anxiety/
Depresn/
Panic / OCD</c:v>
                </c:pt>
                <c:pt idx="1">
                  <c:v>Acute
 Stress / Trauma</c:v>
                </c:pt>
                <c:pt idx="2">
                  <c:v>Career /
 Acad,</c:v>
                </c:pt>
                <c:pt idx="3">
                  <c:v>Inter-
personal</c:v>
                </c:pt>
                <c:pt idx="4">
                  <c:v>Self-
Devlp</c:v>
                </c:pt>
                <c:pt idx="5">
                  <c:v>Clinical</c:v>
                </c:pt>
                <c:pt idx="6">
                  <c:v>Addiction</c:v>
                </c:pt>
                <c:pt idx="7">
                  <c:v>Medical /
 Health issues</c:v>
                </c:pt>
                <c:pt idx="8">
                  <c:v>Suicidal Ideation
 / Self-harm</c:v>
                </c:pt>
              </c:strCache>
            </c:strRef>
          </c:cat>
          <c:val>
            <c:numRef>
              <c:f>Sheet1!$G$30:$O$30</c:f>
              <c:numCache>
                <c:formatCode>General</c:formatCode>
                <c:ptCount val="9"/>
                <c:pt idx="0">
                  <c:v>12</c:v>
                </c:pt>
                <c:pt idx="1">
                  <c:v>1</c:v>
                </c:pt>
                <c:pt idx="2">
                  <c:v>12</c:v>
                </c:pt>
                <c:pt idx="3">
                  <c:v>25</c:v>
                </c:pt>
                <c:pt idx="4">
                  <c:v>25</c:v>
                </c:pt>
                <c:pt idx="5">
                  <c:v>6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2D-405D-96A4-3C5CFC4730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192950848"/>
        <c:axId val="1122490368"/>
      </c:barChart>
      <c:catAx>
        <c:axId val="119295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490368"/>
        <c:crosses val="autoZero"/>
        <c:auto val="1"/>
        <c:lblAlgn val="ctr"/>
        <c:lblOffset val="100"/>
        <c:noMultiLvlLbl val="0"/>
      </c:catAx>
      <c:valAx>
        <c:axId val="11224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95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Total Cases from 24th - 30th June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Sheet1!$A$2:$B$11</c:f>
              <c:multiLvlStrCache>
                <c:ptCount val="10"/>
                <c:lvl>
                  <c:pt idx="2">
                    <c:v>WC</c:v>
                  </c:pt>
                  <c:pt idx="4">
                    <c:v>YD</c:v>
                  </c:pt>
                  <c:pt idx="5">
                    <c:v>MW</c:v>
                  </c:pt>
                  <c:pt idx="6">
                    <c:v>WC</c:v>
                  </c:pt>
                  <c:pt idx="8">
                    <c:v>YD</c:v>
                  </c:pt>
                  <c:pt idx="9">
                    <c:v>MW</c:v>
                  </c:pt>
                </c:lvl>
                <c:lvl>
                  <c:pt idx="2">
                    <c:v>No. of New Cases</c:v>
                  </c:pt>
                  <c:pt idx="6">
                    <c:v>No. of Follow-up cases</c:v>
                  </c:pt>
                </c:lvl>
              </c:multiLvlStrCache>
            </c:multiLvlStrRef>
          </c:cat>
          <c:val>
            <c:numRef>
              <c:f>Sheet1!$C$2:$C$11</c:f>
              <c:numCache>
                <c:formatCode>General</c:formatCode>
                <c:ptCount val="10"/>
                <c:pt idx="2">
                  <c:v>8</c:v>
                </c:pt>
                <c:pt idx="4">
                  <c:v>8</c:v>
                </c:pt>
                <c:pt idx="5">
                  <c:v>4</c:v>
                </c:pt>
                <c:pt idx="6">
                  <c:v>24</c:v>
                </c:pt>
                <c:pt idx="8">
                  <c:v>46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14-447C-BEE7-ABDC7A1DFC80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Total Cases from 01st - 07th July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Sheet1!$A$2:$B$11</c:f>
              <c:multiLvlStrCache>
                <c:ptCount val="10"/>
                <c:lvl>
                  <c:pt idx="2">
                    <c:v>WC</c:v>
                  </c:pt>
                  <c:pt idx="4">
                    <c:v>YD</c:v>
                  </c:pt>
                  <c:pt idx="5">
                    <c:v>MW</c:v>
                  </c:pt>
                  <c:pt idx="6">
                    <c:v>WC</c:v>
                  </c:pt>
                  <c:pt idx="8">
                    <c:v>YD</c:v>
                  </c:pt>
                  <c:pt idx="9">
                    <c:v>MW</c:v>
                  </c:pt>
                </c:lvl>
                <c:lvl>
                  <c:pt idx="2">
                    <c:v>No. of New Cases</c:v>
                  </c:pt>
                  <c:pt idx="6">
                    <c:v>No. of Follow-up cases</c:v>
                  </c:pt>
                </c:lvl>
              </c:multiLvlStrCache>
            </c:multiLvlStrRef>
          </c:cat>
          <c:val>
            <c:numRef>
              <c:f>Sheet1!$D$2:$D$11</c:f>
              <c:numCache>
                <c:formatCode>General</c:formatCode>
                <c:ptCount val="10"/>
                <c:pt idx="2">
                  <c:v>9</c:v>
                </c:pt>
                <c:pt idx="4">
                  <c:v>5</c:v>
                </c:pt>
                <c:pt idx="5">
                  <c:v>5</c:v>
                </c:pt>
                <c:pt idx="6">
                  <c:v>14</c:v>
                </c:pt>
                <c:pt idx="8">
                  <c:v>41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14-447C-BEE7-ABDC7A1DFC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192952928"/>
        <c:axId val="1192953344"/>
      </c:barChart>
      <c:catAx>
        <c:axId val="119295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953344"/>
        <c:crosses val="autoZero"/>
        <c:auto val="1"/>
        <c:lblAlgn val="ctr"/>
        <c:lblOffset val="100"/>
        <c:noMultiLvlLbl val="0"/>
      </c:catAx>
      <c:valAx>
        <c:axId val="11929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9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3A-4582-8A2D-6CBED9BC3E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3A-4582-8A2D-6CBED9BC3E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3A-4582-8A2D-6CBED9BC3E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3A-4582-8A2D-6CBED9BC3E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3A-4582-8A2D-6CBED9BC3E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D3A-4582-8A2D-6CBED9BC3E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D3A-4582-8A2D-6CBED9BC3E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D3A-4582-8A2D-6CBED9BC3E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Sheet1!$A$48:$H$48</c:f>
              <c:strCache>
                <c:ptCount val="8"/>
                <c:pt idx="0">
                  <c:v>UG</c:v>
                </c:pt>
                <c:pt idx="1">
                  <c:v>PG</c:v>
                </c:pt>
                <c:pt idx="2">
                  <c:v>Ph.D</c:v>
                </c:pt>
                <c:pt idx="3">
                  <c:v>Dual Degree</c:v>
                </c:pt>
                <c:pt idx="4">
                  <c:v>IIT Faculty / Staff</c:v>
                </c:pt>
                <c:pt idx="5">
                  <c:v>Employee Family</c:v>
                </c:pt>
                <c:pt idx="6">
                  <c:v>Post Doc
Proj Asso</c:v>
                </c:pt>
                <c:pt idx="7">
                  <c:v>Not Able to Identify</c:v>
                </c:pt>
              </c:strCache>
            </c:strRef>
          </c:cat>
          <c:val>
            <c:numRef>
              <c:f>Sheet1!$A$49:$H$49</c:f>
              <c:numCache>
                <c:formatCode>General</c:formatCode>
                <c:ptCount val="8"/>
                <c:pt idx="0">
                  <c:v>27</c:v>
                </c:pt>
                <c:pt idx="1">
                  <c:v>18</c:v>
                </c:pt>
                <c:pt idx="2">
                  <c:v>25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A-4F98-BC9C-DF9458AB202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8B-4715-8307-0A19EDF106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8B-4715-8307-0A19EDF106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8B-4715-8307-0A19EDF106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8B-4715-8307-0A19EDF106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8B-4715-8307-0A19EDF106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78B-4715-8307-0A19EDF106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78B-4715-8307-0A19EDF106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78B-4715-8307-0A19EDF106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78B-4715-8307-0A19EDF106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Sheet1!$A$70:$I$70</c:f>
              <c:strCache>
                <c:ptCount val="9"/>
                <c:pt idx="0">
                  <c:v>Anxiety/
Depresn/
Panic / OCD</c:v>
                </c:pt>
                <c:pt idx="1">
                  <c:v>Acute
 Stress / Trauma</c:v>
                </c:pt>
                <c:pt idx="2">
                  <c:v>Career /
 Acad,</c:v>
                </c:pt>
                <c:pt idx="3">
                  <c:v>Inter-
personal</c:v>
                </c:pt>
                <c:pt idx="4">
                  <c:v>Self-
Devlp</c:v>
                </c:pt>
                <c:pt idx="5">
                  <c:v>Clinical</c:v>
                </c:pt>
                <c:pt idx="6">
                  <c:v>Addiction</c:v>
                </c:pt>
                <c:pt idx="7">
                  <c:v>Medical /
 Health issues</c:v>
                </c:pt>
                <c:pt idx="8">
                  <c:v>Suicidal Ideation
 / Self-harm</c:v>
                </c:pt>
              </c:strCache>
            </c:strRef>
          </c:cat>
          <c:val>
            <c:numRef>
              <c:f>Sheet1!$A$71:$I$71</c:f>
              <c:numCache>
                <c:formatCode>General</c:formatCode>
                <c:ptCount val="9"/>
                <c:pt idx="0">
                  <c:v>12</c:v>
                </c:pt>
                <c:pt idx="1">
                  <c:v>1</c:v>
                </c:pt>
                <c:pt idx="2">
                  <c:v>12</c:v>
                </c:pt>
                <c:pt idx="3">
                  <c:v>25</c:v>
                </c:pt>
                <c:pt idx="4">
                  <c:v>25</c:v>
                </c:pt>
                <c:pt idx="5">
                  <c:v>6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F-4DFE-ADBE-504E8A1B4DA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A2-4F91-83A3-B8629DBC97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A2-4F91-83A3-B8629DBC97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A2-4F91-83A3-B8629DBC97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Sheet1!$E$95:$E$97</c:f>
              <c:strCache>
                <c:ptCount val="3"/>
                <c:pt idx="0">
                  <c:v>WC</c:v>
                </c:pt>
                <c:pt idx="1">
                  <c:v>YD</c:v>
                </c:pt>
                <c:pt idx="2">
                  <c:v>MW</c:v>
                </c:pt>
              </c:strCache>
            </c:strRef>
          </c:cat>
          <c:val>
            <c:numRef>
              <c:f>Sheet1!$F$95:$F$97</c:f>
              <c:numCache>
                <c:formatCode>General</c:formatCode>
                <c:ptCount val="3"/>
                <c:pt idx="0">
                  <c:v>23</c:v>
                </c:pt>
                <c:pt idx="1">
                  <c:v>46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0-4F06-9884-652D8603B62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96-427B-8A62-2A81EA98AF77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96-427B-8A62-2A81EA98AF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Sheet1!$K$106:$K$109</c:f>
              <c:strCache>
                <c:ptCount val="4"/>
                <c:pt idx="0">
                  <c:v>WC</c:v>
                </c:pt>
                <c:pt idx="2">
                  <c:v>YD</c:v>
                </c:pt>
                <c:pt idx="3">
                  <c:v>MW</c:v>
                </c:pt>
              </c:strCache>
            </c:strRef>
          </c:cat>
          <c:val>
            <c:numRef>
              <c:f>Sheet1!$L$106:$L$109</c:f>
              <c:numCache>
                <c:formatCode>General</c:formatCode>
                <c:ptCount val="4"/>
                <c:pt idx="0">
                  <c:v>27</c:v>
                </c:pt>
                <c:pt idx="2">
                  <c:v>52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6-427B-8A62-2A81EA98AF7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Sheet3!$A$1:$H$1</c:f>
              <c:strCache>
                <c:ptCount val="8"/>
                <c:pt idx="0">
                  <c:v>UG</c:v>
                </c:pt>
                <c:pt idx="1">
                  <c:v>PG</c:v>
                </c:pt>
                <c:pt idx="2">
                  <c:v>Ph.D</c:v>
                </c:pt>
                <c:pt idx="3">
                  <c:v>Dual Degree</c:v>
                </c:pt>
                <c:pt idx="4">
                  <c:v>IIT Faculty / Staff</c:v>
                </c:pt>
                <c:pt idx="5">
                  <c:v>Employee Family</c:v>
                </c:pt>
                <c:pt idx="6">
                  <c:v>Post Doc
Proj Asso</c:v>
                </c:pt>
                <c:pt idx="7">
                  <c:v>Not Able to Identify</c:v>
                </c:pt>
              </c:strCache>
            </c:strRef>
          </c:cat>
          <c:val>
            <c:numRef>
              <c:f>Sheet3!$A$2:$H$2</c:f>
              <c:numCache>
                <c:formatCode>General</c:formatCode>
                <c:ptCount val="8"/>
                <c:pt idx="0">
                  <c:v>30</c:v>
                </c:pt>
                <c:pt idx="1">
                  <c:v>13</c:v>
                </c:pt>
                <c:pt idx="2">
                  <c:v>28</c:v>
                </c:pt>
                <c:pt idx="3">
                  <c:v>6</c:v>
                </c:pt>
                <c:pt idx="4">
                  <c:v>8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0-4220-A652-7ED2FEA42BF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Sheet3!$A$8:$I$8</c:f>
              <c:strCache>
                <c:ptCount val="9"/>
                <c:pt idx="0">
                  <c:v>Anxiety/
Depresn/
Panic / OCD</c:v>
                </c:pt>
                <c:pt idx="1">
                  <c:v>Acute
 Stress / Trauma</c:v>
                </c:pt>
                <c:pt idx="2">
                  <c:v>Career /
 Acad,</c:v>
                </c:pt>
                <c:pt idx="3">
                  <c:v>Inter-
personal</c:v>
                </c:pt>
                <c:pt idx="4">
                  <c:v>Self-
Devlp</c:v>
                </c:pt>
                <c:pt idx="5">
                  <c:v>Clinical</c:v>
                </c:pt>
                <c:pt idx="6">
                  <c:v>Addiction</c:v>
                </c:pt>
                <c:pt idx="7">
                  <c:v>Medical /
 Health issues</c:v>
                </c:pt>
                <c:pt idx="8">
                  <c:v>Suicidal Ideation
 / Self-harm</c:v>
                </c:pt>
              </c:strCache>
            </c:strRef>
          </c:cat>
          <c:val>
            <c:numRef>
              <c:f>Sheet3!$A$9:$I$9</c:f>
              <c:numCache>
                <c:formatCode>General</c:formatCode>
                <c:ptCount val="9"/>
                <c:pt idx="0">
                  <c:v>19</c:v>
                </c:pt>
                <c:pt idx="1">
                  <c:v>0</c:v>
                </c:pt>
                <c:pt idx="2">
                  <c:v>9</c:v>
                </c:pt>
                <c:pt idx="3">
                  <c:v>32</c:v>
                </c:pt>
                <c:pt idx="4">
                  <c:v>26</c:v>
                </c:pt>
                <c:pt idx="5">
                  <c:v>7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A-4E03-B53B-5A11F526681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36482939632549E-2"/>
          <c:y val="2.5428331875182269E-2"/>
          <c:w val="0.90286351706036749"/>
          <c:h val="0.73577136191309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Sheet4!$B$1:$B$3</c:f>
              <c:strCache>
                <c:ptCount val="3"/>
                <c:pt idx="0">
                  <c:v>01st to 07th July 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Sheet4!$A$4:$A$6</c:f>
              <c:strCache>
                <c:ptCount val="3"/>
                <c:pt idx="0">
                  <c:v>WC</c:v>
                </c:pt>
                <c:pt idx="1">
                  <c:v>YD</c:v>
                </c:pt>
                <c:pt idx="2">
                  <c:v>MW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3"/>
                <c:pt idx="0">
                  <c:v>23</c:v>
                </c:pt>
                <c:pt idx="1">
                  <c:v>46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F-4F48-A300-3EBD76F4AF8A}"/>
            </c:ext>
          </c:extLst>
        </c:ser>
        <c:ser>
          <c:idx val="1"/>
          <c:order val="1"/>
          <c:tx>
            <c:strRef>
              <c:f>Sheet4!$C$1:$C$3</c:f>
              <c:strCache>
                <c:ptCount val="3"/>
                <c:pt idx="0">
                  <c:v>08th to 14th July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Sheet4!$A$4:$A$6</c:f>
              <c:strCache>
                <c:ptCount val="3"/>
                <c:pt idx="0">
                  <c:v>WC</c:v>
                </c:pt>
                <c:pt idx="1">
                  <c:v>YD</c:v>
                </c:pt>
                <c:pt idx="2">
                  <c:v>MW</c:v>
                </c:pt>
              </c:strCache>
            </c:strRef>
          </c:cat>
          <c:val>
            <c:numRef>
              <c:f>Sheet4!$C$4:$C$6</c:f>
              <c:numCache>
                <c:formatCode>General</c:formatCode>
                <c:ptCount val="3"/>
                <c:pt idx="0">
                  <c:v>26</c:v>
                </c:pt>
                <c:pt idx="1">
                  <c:v>53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F-4F48-A300-3EBD76F4AF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6714144"/>
        <c:axId val="656708736"/>
      </c:barChart>
      <c:catAx>
        <c:axId val="6567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708736"/>
        <c:crosses val="autoZero"/>
        <c:auto val="1"/>
        <c:lblAlgn val="ctr"/>
        <c:lblOffset val="100"/>
        <c:noMultiLvlLbl val="0"/>
      </c:catAx>
      <c:valAx>
        <c:axId val="65670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71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36482939632549E-2"/>
          <c:y val="2.5428331875182269E-2"/>
          <c:w val="0.90286351706036749"/>
          <c:h val="0.5361256926217555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Sheet5!$B$1:$R$2</c:f>
              <c:multiLvlStrCache>
                <c:ptCount val="17"/>
                <c:lvl>
                  <c:pt idx="0">
                    <c:v>Anxiety/
Depresn/
Panic / OCD</c:v>
                  </c:pt>
                  <c:pt idx="1">
                    <c:v>Acute
 Stress / Trauma</c:v>
                  </c:pt>
                  <c:pt idx="2">
                    <c:v>Career /
 Acad,</c:v>
                  </c:pt>
                  <c:pt idx="3">
                    <c:v>Inter-
personal</c:v>
                  </c:pt>
                  <c:pt idx="4">
                    <c:v>Self-
Devlp</c:v>
                  </c:pt>
                  <c:pt idx="5">
                    <c:v>Clinical</c:v>
                  </c:pt>
                  <c:pt idx="6">
                    <c:v>Addiction</c:v>
                  </c:pt>
                  <c:pt idx="7">
                    <c:v>Medical /
 Health issues</c:v>
                  </c:pt>
                  <c:pt idx="8">
                    <c:v>Anxiety/
Depresn/
Panic / OCD</c:v>
                  </c:pt>
                  <c:pt idx="9">
                    <c:v>Acute
 Stress / Trauma</c:v>
                  </c:pt>
                  <c:pt idx="10">
                    <c:v>Career /
 Acad,</c:v>
                  </c:pt>
                  <c:pt idx="11">
                    <c:v>Inter-
personal</c:v>
                  </c:pt>
                  <c:pt idx="12">
                    <c:v>Self-
Devlp</c:v>
                  </c:pt>
                  <c:pt idx="13">
                    <c:v>Clinical</c:v>
                  </c:pt>
                  <c:pt idx="14">
                    <c:v>Addiction</c:v>
                  </c:pt>
                  <c:pt idx="15">
                    <c:v>Medical /
 Health issues</c:v>
                  </c:pt>
                  <c:pt idx="16">
                    <c:v>Suicidal Ideation
 / Self-harm</c:v>
                  </c:pt>
                </c:lvl>
                <c:lvl>
                  <c:pt idx="0">
                    <c:v>01st to 07th July 2026</c:v>
                  </c:pt>
                  <c:pt idx="8">
                    <c:v>08th to 14th July 2026</c:v>
                  </c:pt>
                </c:lvl>
              </c:multiLvlStrCache>
            </c:multiLvlStrRef>
          </c:cat>
          <c:val>
            <c:numRef>
              <c:f>Sheet5!$B$3:$R$3</c:f>
              <c:numCache>
                <c:formatCode>General</c:formatCode>
                <c:ptCount val="17"/>
                <c:pt idx="0">
                  <c:v>12</c:v>
                </c:pt>
                <c:pt idx="1">
                  <c:v>1</c:v>
                </c:pt>
                <c:pt idx="2">
                  <c:v>12</c:v>
                </c:pt>
                <c:pt idx="3">
                  <c:v>25</c:v>
                </c:pt>
                <c:pt idx="4">
                  <c:v>25</c:v>
                </c:pt>
                <c:pt idx="5">
                  <c:v>6</c:v>
                </c:pt>
                <c:pt idx="6">
                  <c:v>0</c:v>
                </c:pt>
                <c:pt idx="7">
                  <c:v>1</c:v>
                </c:pt>
                <c:pt idx="8">
                  <c:v>19</c:v>
                </c:pt>
                <c:pt idx="9">
                  <c:v>0</c:v>
                </c:pt>
                <c:pt idx="10">
                  <c:v>9</c:v>
                </c:pt>
                <c:pt idx="11">
                  <c:v>32</c:v>
                </c:pt>
                <c:pt idx="12">
                  <c:v>26</c:v>
                </c:pt>
                <c:pt idx="13">
                  <c:v>7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B-48A3-96F7-D7D74B22C1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4694720"/>
        <c:axId val="694706784"/>
      </c:barChart>
      <c:catAx>
        <c:axId val="69469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06784"/>
        <c:crosses val="autoZero"/>
        <c:auto val="1"/>
        <c:lblAlgn val="ctr"/>
        <c:lblOffset val="100"/>
        <c:noMultiLvlLbl val="0"/>
      </c:catAx>
      <c:valAx>
        <c:axId val="69470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9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Sheet5!$D$21</c:f>
              <c:strCache>
                <c:ptCount val="1"/>
                <c:pt idx="0">
                  <c:v>01st to 07th July 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Sheet5!$C$22:$C$29</c:f>
              <c:strCache>
                <c:ptCount val="8"/>
                <c:pt idx="0">
                  <c:v>UG</c:v>
                </c:pt>
                <c:pt idx="1">
                  <c:v>PG</c:v>
                </c:pt>
                <c:pt idx="2">
                  <c:v>Ph.D</c:v>
                </c:pt>
                <c:pt idx="3">
                  <c:v>Dual Degree</c:v>
                </c:pt>
                <c:pt idx="4">
                  <c:v>IIT Faculty / Staff</c:v>
                </c:pt>
                <c:pt idx="5">
                  <c:v>Employee Family</c:v>
                </c:pt>
                <c:pt idx="6">
                  <c:v>Post Doc
Proj Asso</c:v>
                </c:pt>
                <c:pt idx="7">
                  <c:v>Not Able to Identify</c:v>
                </c:pt>
              </c:strCache>
            </c:strRef>
          </c:cat>
          <c:val>
            <c:numRef>
              <c:f>Sheet5!$D$22:$D$29</c:f>
              <c:numCache>
                <c:formatCode>General</c:formatCode>
                <c:ptCount val="8"/>
                <c:pt idx="0">
                  <c:v>27</c:v>
                </c:pt>
                <c:pt idx="1">
                  <c:v>18</c:v>
                </c:pt>
                <c:pt idx="2">
                  <c:v>25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1-406A-9768-357EF67C5684}"/>
            </c:ext>
          </c:extLst>
        </c:ser>
        <c:ser>
          <c:idx val="1"/>
          <c:order val="1"/>
          <c:tx>
            <c:strRef>
              <c:f>Sheet5!$E$21</c:f>
              <c:strCache>
                <c:ptCount val="1"/>
                <c:pt idx="0">
                  <c:v>08th to 14th July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Sheet5!$C$22:$C$29</c:f>
              <c:strCache>
                <c:ptCount val="8"/>
                <c:pt idx="0">
                  <c:v>UG</c:v>
                </c:pt>
                <c:pt idx="1">
                  <c:v>PG</c:v>
                </c:pt>
                <c:pt idx="2">
                  <c:v>Ph.D</c:v>
                </c:pt>
                <c:pt idx="3">
                  <c:v>Dual Degree</c:v>
                </c:pt>
                <c:pt idx="4">
                  <c:v>IIT Faculty / Staff</c:v>
                </c:pt>
                <c:pt idx="5">
                  <c:v>Employee Family</c:v>
                </c:pt>
                <c:pt idx="6">
                  <c:v>Post Doc
Proj Asso</c:v>
                </c:pt>
                <c:pt idx="7">
                  <c:v>Not Able to Identify</c:v>
                </c:pt>
              </c:strCache>
            </c:strRef>
          </c:cat>
          <c:val>
            <c:numRef>
              <c:f>Sheet5!$E$22:$E$29</c:f>
              <c:numCache>
                <c:formatCode>General</c:formatCode>
                <c:ptCount val="8"/>
                <c:pt idx="0">
                  <c:v>30</c:v>
                </c:pt>
                <c:pt idx="1">
                  <c:v>13</c:v>
                </c:pt>
                <c:pt idx="2">
                  <c:v>28</c:v>
                </c:pt>
                <c:pt idx="3">
                  <c:v>6</c:v>
                </c:pt>
                <c:pt idx="4">
                  <c:v>8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1-406A-9768-357EF67C56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9875440"/>
        <c:axId val="519875024"/>
      </c:barChart>
      <c:catAx>
        <c:axId val="51987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875024"/>
        <c:crosses val="autoZero"/>
        <c:auto val="1"/>
        <c:lblAlgn val="ctr"/>
        <c:lblOffset val="100"/>
        <c:noMultiLvlLbl val="0"/>
      </c:catAx>
      <c:valAx>
        <c:axId val="5198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87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Sheet5!$A$62</c:f>
              <c:strCache>
                <c:ptCount val="1"/>
                <c:pt idx="0">
                  <c:v>WC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Sheet5!$B$60:$Q$61</c:f>
              <c:multiLvlStrCache>
                <c:ptCount val="16"/>
                <c:lvl>
                  <c:pt idx="0">
                    <c:v>UG</c:v>
                  </c:pt>
                  <c:pt idx="1">
                    <c:v>PG</c:v>
                  </c:pt>
                  <c:pt idx="2">
                    <c:v>Ph.D</c:v>
                  </c:pt>
                  <c:pt idx="3">
                    <c:v>Dual Degree</c:v>
                  </c:pt>
                  <c:pt idx="4">
                    <c:v>IIT Faculty / Staff</c:v>
                  </c:pt>
                  <c:pt idx="5">
                    <c:v>Employee Family</c:v>
                  </c:pt>
                  <c:pt idx="6">
                    <c:v>Post Doc
Proj Asso</c:v>
                  </c:pt>
                  <c:pt idx="7">
                    <c:v>Not Able to Identify</c:v>
                  </c:pt>
                  <c:pt idx="8">
                    <c:v>UG</c:v>
                  </c:pt>
                  <c:pt idx="9">
                    <c:v>PG</c:v>
                  </c:pt>
                  <c:pt idx="10">
                    <c:v>Ph.D</c:v>
                  </c:pt>
                  <c:pt idx="11">
                    <c:v>Dual Degree</c:v>
                  </c:pt>
                  <c:pt idx="12">
                    <c:v>IIT Faculty / Staff</c:v>
                  </c:pt>
                  <c:pt idx="13">
                    <c:v>Employee Family</c:v>
                  </c:pt>
                  <c:pt idx="14">
                    <c:v>Post Doc
Proj Asso</c:v>
                  </c:pt>
                  <c:pt idx="15">
                    <c:v>Not Able to Identify</c:v>
                  </c:pt>
                </c:lvl>
                <c:lvl>
                  <c:pt idx="0">
                    <c:v>01st to 07th July 2026</c:v>
                  </c:pt>
                  <c:pt idx="8">
                    <c:v>08st to 14th July 2026</c:v>
                  </c:pt>
                </c:lvl>
              </c:multiLvlStrCache>
            </c:multiLvlStrRef>
          </c:cat>
          <c:val>
            <c:numRef>
              <c:f>Sheet5!$B$62:$Q$62</c:f>
              <c:numCache>
                <c:formatCode>General</c:formatCode>
                <c:ptCount val="16"/>
                <c:pt idx="0">
                  <c:v>6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6</c:v>
                </c:pt>
                <c:pt idx="10">
                  <c:v>13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8-4F8C-A359-A35F53AD2C71}"/>
            </c:ext>
          </c:extLst>
        </c:ser>
        <c:ser>
          <c:idx val="1"/>
          <c:order val="1"/>
          <c:tx>
            <c:strRef>
              <c:f>Sheet5!$A$63</c:f>
              <c:strCache>
                <c:ptCount val="1"/>
                <c:pt idx="0">
                  <c:v>YD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Sheet5!$B$60:$Q$61</c:f>
              <c:multiLvlStrCache>
                <c:ptCount val="16"/>
                <c:lvl>
                  <c:pt idx="0">
                    <c:v>UG</c:v>
                  </c:pt>
                  <c:pt idx="1">
                    <c:v>PG</c:v>
                  </c:pt>
                  <c:pt idx="2">
                    <c:v>Ph.D</c:v>
                  </c:pt>
                  <c:pt idx="3">
                    <c:v>Dual Degree</c:v>
                  </c:pt>
                  <c:pt idx="4">
                    <c:v>IIT Faculty / Staff</c:v>
                  </c:pt>
                  <c:pt idx="5">
                    <c:v>Employee Family</c:v>
                  </c:pt>
                  <c:pt idx="6">
                    <c:v>Post Doc
Proj Asso</c:v>
                  </c:pt>
                  <c:pt idx="7">
                    <c:v>Not Able to Identify</c:v>
                  </c:pt>
                  <c:pt idx="8">
                    <c:v>UG</c:v>
                  </c:pt>
                  <c:pt idx="9">
                    <c:v>PG</c:v>
                  </c:pt>
                  <c:pt idx="10">
                    <c:v>Ph.D</c:v>
                  </c:pt>
                  <c:pt idx="11">
                    <c:v>Dual Degree</c:v>
                  </c:pt>
                  <c:pt idx="12">
                    <c:v>IIT Faculty / Staff</c:v>
                  </c:pt>
                  <c:pt idx="13">
                    <c:v>Employee Family</c:v>
                  </c:pt>
                  <c:pt idx="14">
                    <c:v>Post Doc
Proj Asso</c:v>
                  </c:pt>
                  <c:pt idx="15">
                    <c:v>Not Able to Identify</c:v>
                  </c:pt>
                </c:lvl>
                <c:lvl>
                  <c:pt idx="0">
                    <c:v>01st to 07th July 2026</c:v>
                  </c:pt>
                  <c:pt idx="8">
                    <c:v>08st to 14th July 2026</c:v>
                  </c:pt>
                </c:lvl>
              </c:multiLvlStrCache>
            </c:multiLvlStrRef>
          </c:cat>
          <c:val>
            <c:numRef>
              <c:f>Sheet5!$B$63:$Q$63</c:f>
              <c:numCache>
                <c:formatCode>General</c:formatCode>
                <c:ptCount val="16"/>
                <c:pt idx="0">
                  <c:v>18</c:v>
                </c:pt>
                <c:pt idx="1">
                  <c:v>4</c:v>
                </c:pt>
                <c:pt idx="2">
                  <c:v>16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23</c:v>
                </c:pt>
                <c:pt idx="9">
                  <c:v>2</c:v>
                </c:pt>
                <c:pt idx="10">
                  <c:v>9</c:v>
                </c:pt>
                <c:pt idx="11">
                  <c:v>5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8-4F8C-A359-A35F53AD2C71}"/>
            </c:ext>
          </c:extLst>
        </c:ser>
        <c:ser>
          <c:idx val="2"/>
          <c:order val="2"/>
          <c:tx>
            <c:strRef>
              <c:f>Sheet5!$A$64</c:f>
              <c:strCache>
                <c:ptCount val="1"/>
                <c:pt idx="0">
                  <c:v>MW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Sheet5!$B$60:$Q$61</c:f>
              <c:multiLvlStrCache>
                <c:ptCount val="16"/>
                <c:lvl>
                  <c:pt idx="0">
                    <c:v>UG</c:v>
                  </c:pt>
                  <c:pt idx="1">
                    <c:v>PG</c:v>
                  </c:pt>
                  <c:pt idx="2">
                    <c:v>Ph.D</c:v>
                  </c:pt>
                  <c:pt idx="3">
                    <c:v>Dual Degree</c:v>
                  </c:pt>
                  <c:pt idx="4">
                    <c:v>IIT Faculty / Staff</c:v>
                  </c:pt>
                  <c:pt idx="5">
                    <c:v>Employee Family</c:v>
                  </c:pt>
                  <c:pt idx="6">
                    <c:v>Post Doc
Proj Asso</c:v>
                  </c:pt>
                  <c:pt idx="7">
                    <c:v>Not Able to Identify</c:v>
                  </c:pt>
                  <c:pt idx="8">
                    <c:v>UG</c:v>
                  </c:pt>
                  <c:pt idx="9">
                    <c:v>PG</c:v>
                  </c:pt>
                  <c:pt idx="10">
                    <c:v>Ph.D</c:v>
                  </c:pt>
                  <c:pt idx="11">
                    <c:v>Dual Degree</c:v>
                  </c:pt>
                  <c:pt idx="12">
                    <c:v>IIT Faculty / Staff</c:v>
                  </c:pt>
                  <c:pt idx="13">
                    <c:v>Employee Family</c:v>
                  </c:pt>
                  <c:pt idx="14">
                    <c:v>Post Doc
Proj Asso</c:v>
                  </c:pt>
                  <c:pt idx="15">
                    <c:v>Not Able to Identify</c:v>
                  </c:pt>
                </c:lvl>
                <c:lvl>
                  <c:pt idx="0">
                    <c:v>01st to 07th July 2026</c:v>
                  </c:pt>
                  <c:pt idx="8">
                    <c:v>08st to 14th July 2026</c:v>
                  </c:pt>
                </c:lvl>
              </c:multiLvlStrCache>
            </c:multiLvlStrRef>
          </c:cat>
          <c:val>
            <c:numRef>
              <c:f>Sheet5!$B$64:$Q$64</c:f>
              <c:numCache>
                <c:formatCode>General</c:formatCode>
                <c:ptCount val="1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3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18-4F8C-A359-A35F53AD2C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6719136"/>
        <c:axId val="656715392"/>
      </c:barChart>
      <c:catAx>
        <c:axId val="6567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715392"/>
        <c:crosses val="autoZero"/>
        <c:auto val="1"/>
        <c:lblAlgn val="ctr"/>
        <c:lblOffset val="100"/>
        <c:noMultiLvlLbl val="0"/>
      </c:catAx>
      <c:valAx>
        <c:axId val="65671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71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Sheet5!$A$71</c:f>
              <c:strCache>
                <c:ptCount val="1"/>
                <c:pt idx="0">
                  <c:v>WC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Sheet5!$B$69:$T$70</c:f>
              <c:multiLvlStrCache>
                <c:ptCount val="19"/>
                <c:lvl>
                  <c:pt idx="0">
                    <c:v>Anxiety/
Depresn/
Panic / OCD</c:v>
                  </c:pt>
                  <c:pt idx="1">
                    <c:v>Acute
 Stress / Trauma</c:v>
                  </c:pt>
                  <c:pt idx="2">
                    <c:v>Career /
 Acad,</c:v>
                  </c:pt>
                  <c:pt idx="3">
                    <c:v>Inter-
personal</c:v>
                  </c:pt>
                  <c:pt idx="4">
                    <c:v>Self-
Devlp</c:v>
                  </c:pt>
                  <c:pt idx="5">
                    <c:v>Clinical</c:v>
                  </c:pt>
                  <c:pt idx="6">
                    <c:v>Addiction</c:v>
                  </c:pt>
                  <c:pt idx="7">
                    <c:v>Medical /
 Health issues</c:v>
                  </c:pt>
                  <c:pt idx="8">
                    <c:v>Suicidal Ideation
 / Self-harm</c:v>
                  </c:pt>
                  <c:pt idx="10">
                    <c:v>Anxiety/
Depresn/
Panic / OCD</c:v>
                  </c:pt>
                  <c:pt idx="11">
                    <c:v>Acute
 Stress / Trauma</c:v>
                  </c:pt>
                  <c:pt idx="12">
                    <c:v>Career /
 Acad,</c:v>
                  </c:pt>
                  <c:pt idx="13">
                    <c:v>Inter-
personal</c:v>
                  </c:pt>
                  <c:pt idx="14">
                    <c:v>Self-
Devlp</c:v>
                  </c:pt>
                  <c:pt idx="15">
                    <c:v>Clinical</c:v>
                  </c:pt>
                  <c:pt idx="16">
                    <c:v>Addiction</c:v>
                  </c:pt>
                  <c:pt idx="17">
                    <c:v>Medical /
 Health issues</c:v>
                  </c:pt>
                  <c:pt idx="18">
                    <c:v>Suicidal Ideation
 / Self-harm</c:v>
                  </c:pt>
                </c:lvl>
                <c:lvl>
                  <c:pt idx="0">
                    <c:v>01st to 07th July 2026</c:v>
                  </c:pt>
                  <c:pt idx="10">
                    <c:v>08st to 14th July 2026</c:v>
                  </c:pt>
                </c:lvl>
              </c:multiLvlStrCache>
            </c:multiLvlStrRef>
          </c:cat>
          <c:val>
            <c:numRef>
              <c:f>Sheet5!$B$71:$T$71</c:f>
              <c:numCache>
                <c:formatCode>General</c:formatCode>
                <c:ptCount val="19"/>
                <c:pt idx="0">
                  <c:v>10</c:v>
                </c:pt>
                <c:pt idx="1">
                  <c:v>0</c:v>
                </c:pt>
                <c:pt idx="2">
                  <c:v>2</c:v>
                </c:pt>
                <c:pt idx="3">
                  <c:v>8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1</c:v>
                </c:pt>
                <c:pt idx="13">
                  <c:v>10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B-419C-8E0C-8C994E97F367}"/>
            </c:ext>
          </c:extLst>
        </c:ser>
        <c:ser>
          <c:idx val="1"/>
          <c:order val="1"/>
          <c:tx>
            <c:strRef>
              <c:f>Sheet5!$A$72</c:f>
              <c:strCache>
                <c:ptCount val="1"/>
                <c:pt idx="0">
                  <c:v>YD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Sheet5!$B$69:$T$70</c:f>
              <c:multiLvlStrCache>
                <c:ptCount val="19"/>
                <c:lvl>
                  <c:pt idx="0">
                    <c:v>Anxiety/
Depresn/
Panic / OCD</c:v>
                  </c:pt>
                  <c:pt idx="1">
                    <c:v>Acute
 Stress / Trauma</c:v>
                  </c:pt>
                  <c:pt idx="2">
                    <c:v>Career /
 Acad,</c:v>
                  </c:pt>
                  <c:pt idx="3">
                    <c:v>Inter-
personal</c:v>
                  </c:pt>
                  <c:pt idx="4">
                    <c:v>Self-
Devlp</c:v>
                  </c:pt>
                  <c:pt idx="5">
                    <c:v>Clinical</c:v>
                  </c:pt>
                  <c:pt idx="6">
                    <c:v>Addiction</c:v>
                  </c:pt>
                  <c:pt idx="7">
                    <c:v>Medical /
 Health issues</c:v>
                  </c:pt>
                  <c:pt idx="8">
                    <c:v>Suicidal Ideation
 / Self-harm</c:v>
                  </c:pt>
                  <c:pt idx="10">
                    <c:v>Anxiety/
Depresn/
Panic / OCD</c:v>
                  </c:pt>
                  <c:pt idx="11">
                    <c:v>Acute
 Stress / Trauma</c:v>
                  </c:pt>
                  <c:pt idx="12">
                    <c:v>Career /
 Acad,</c:v>
                  </c:pt>
                  <c:pt idx="13">
                    <c:v>Inter-
personal</c:v>
                  </c:pt>
                  <c:pt idx="14">
                    <c:v>Self-
Devlp</c:v>
                  </c:pt>
                  <c:pt idx="15">
                    <c:v>Clinical</c:v>
                  </c:pt>
                  <c:pt idx="16">
                    <c:v>Addiction</c:v>
                  </c:pt>
                  <c:pt idx="17">
                    <c:v>Medical /
 Health issues</c:v>
                  </c:pt>
                  <c:pt idx="18">
                    <c:v>Suicidal Ideation
 / Self-harm</c:v>
                  </c:pt>
                </c:lvl>
                <c:lvl>
                  <c:pt idx="0">
                    <c:v>01st to 07th July 2026</c:v>
                  </c:pt>
                  <c:pt idx="10">
                    <c:v>08st to 14th July 2026</c:v>
                  </c:pt>
                </c:lvl>
              </c:multiLvlStrCache>
            </c:multiLvlStrRef>
          </c:cat>
          <c:val>
            <c:numRef>
              <c:f>Sheet5!$B$72:$T$72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14</c:v>
                </c:pt>
                <c:pt idx="4">
                  <c:v>20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21</c:v>
                </c:pt>
                <c:pt idx="14">
                  <c:v>23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BB-419C-8E0C-8C994E97F367}"/>
            </c:ext>
          </c:extLst>
        </c:ser>
        <c:ser>
          <c:idx val="2"/>
          <c:order val="2"/>
          <c:tx>
            <c:strRef>
              <c:f>Sheet5!$A$73</c:f>
              <c:strCache>
                <c:ptCount val="1"/>
                <c:pt idx="0">
                  <c:v>MW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Sheet5!$B$69:$T$70</c:f>
              <c:multiLvlStrCache>
                <c:ptCount val="19"/>
                <c:lvl>
                  <c:pt idx="0">
                    <c:v>Anxiety/
Depresn/
Panic / OCD</c:v>
                  </c:pt>
                  <c:pt idx="1">
                    <c:v>Acute
 Stress / Trauma</c:v>
                  </c:pt>
                  <c:pt idx="2">
                    <c:v>Career /
 Acad,</c:v>
                  </c:pt>
                  <c:pt idx="3">
                    <c:v>Inter-
personal</c:v>
                  </c:pt>
                  <c:pt idx="4">
                    <c:v>Self-
Devlp</c:v>
                  </c:pt>
                  <c:pt idx="5">
                    <c:v>Clinical</c:v>
                  </c:pt>
                  <c:pt idx="6">
                    <c:v>Addiction</c:v>
                  </c:pt>
                  <c:pt idx="7">
                    <c:v>Medical /
 Health issues</c:v>
                  </c:pt>
                  <c:pt idx="8">
                    <c:v>Suicidal Ideation
 / Self-harm</c:v>
                  </c:pt>
                  <c:pt idx="10">
                    <c:v>Anxiety/
Depresn/
Panic / OCD</c:v>
                  </c:pt>
                  <c:pt idx="11">
                    <c:v>Acute
 Stress / Trauma</c:v>
                  </c:pt>
                  <c:pt idx="12">
                    <c:v>Career /
 Acad,</c:v>
                  </c:pt>
                  <c:pt idx="13">
                    <c:v>Inter-
personal</c:v>
                  </c:pt>
                  <c:pt idx="14">
                    <c:v>Self-
Devlp</c:v>
                  </c:pt>
                  <c:pt idx="15">
                    <c:v>Clinical</c:v>
                  </c:pt>
                  <c:pt idx="16">
                    <c:v>Addiction</c:v>
                  </c:pt>
                  <c:pt idx="17">
                    <c:v>Medical /
 Health issues</c:v>
                  </c:pt>
                  <c:pt idx="18">
                    <c:v>Suicidal Ideation
 / Self-harm</c:v>
                  </c:pt>
                </c:lvl>
                <c:lvl>
                  <c:pt idx="0">
                    <c:v>01st to 07th July 2026</c:v>
                  </c:pt>
                  <c:pt idx="10">
                    <c:v>08st to 14th July 2026</c:v>
                  </c:pt>
                </c:lvl>
              </c:multiLvlStrCache>
            </c:multiLvlStrRef>
          </c:cat>
          <c:val>
            <c:numRef>
              <c:f>Sheet5!$B$73:$T$73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10">
                  <c:v>9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BB-419C-8E0C-8C994E97F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030192"/>
        <c:axId val="656031856"/>
      </c:barChart>
      <c:catAx>
        <c:axId val="65603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31856"/>
        <c:crosses val="autoZero"/>
        <c:auto val="1"/>
        <c:lblAlgn val="ctr"/>
        <c:lblOffset val="100"/>
        <c:noMultiLvlLbl val="0"/>
      </c:catAx>
      <c:valAx>
        <c:axId val="65603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0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11205</xdr:colOff>
      <xdr:row>6</xdr:row>
      <xdr:rowOff>264458</xdr:rowOff>
    </xdr:from>
    <xdr:to>
      <xdr:col>18</xdr:col>
      <xdr:colOff>347382</xdr:colOff>
      <xdr:row>11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2061882</xdr:colOff>
      <xdr:row>27</xdr:row>
      <xdr:rowOff>1362635</xdr:rowOff>
    </xdr:from>
    <xdr:to>
      <xdr:col>12</xdr:col>
      <xdr:colOff>369794</xdr:colOff>
      <xdr:row>35</xdr:row>
      <xdr:rowOff>105335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739588</xdr:colOff>
      <xdr:row>8</xdr:row>
      <xdr:rowOff>51547</xdr:rowOff>
    </xdr:from>
    <xdr:to>
      <xdr:col>10</xdr:col>
      <xdr:colOff>257735</xdr:colOff>
      <xdr:row>13</xdr:row>
      <xdr:rowOff>990600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739588</xdr:colOff>
      <xdr:row>49</xdr:row>
      <xdr:rowOff>73959</xdr:rowOff>
    </xdr:from>
    <xdr:to>
      <xdr:col>10</xdr:col>
      <xdr:colOff>257735</xdr:colOff>
      <xdr:row>63</xdr:row>
      <xdr:rowOff>150159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739588</xdr:colOff>
      <xdr:row>69</xdr:row>
      <xdr:rowOff>1362635</xdr:rowOff>
    </xdr:from>
    <xdr:to>
      <xdr:col>10</xdr:col>
      <xdr:colOff>257735</xdr:colOff>
      <xdr:row>81</xdr:row>
      <xdr:rowOff>116541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941294</xdr:colOff>
      <xdr:row>91</xdr:row>
      <xdr:rowOff>29135</xdr:rowOff>
    </xdr:from>
    <xdr:to>
      <xdr:col>6</xdr:col>
      <xdr:colOff>593911</xdr:colOff>
      <xdr:row>102</xdr:row>
      <xdr:rowOff>4482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56030</xdr:colOff>
      <xdr:row>92</xdr:row>
      <xdr:rowOff>145677</xdr:rowOff>
    </xdr:from>
    <xdr:to>
      <xdr:col>27</xdr:col>
      <xdr:colOff>470647</xdr:colOff>
      <xdr:row>122</xdr:row>
      <xdr:rowOff>156882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90487</xdr:colOff>
      <xdr:row>0</xdr:row>
      <xdr:rowOff>1219200</xdr:rowOff>
    </xdr:from>
    <xdr:to>
      <xdr:col>22</xdr:col>
      <xdr:colOff>395287</xdr:colOff>
      <xdr:row>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414337</xdr:colOff>
      <xdr:row>9</xdr:row>
      <xdr:rowOff>161925</xdr:rowOff>
    </xdr:from>
    <xdr:to>
      <xdr:col>23</xdr:col>
      <xdr:colOff>109537</xdr:colOff>
      <xdr:row>24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</xdr:colOff>
      <xdr:row>2</xdr:row>
      <xdr:rowOff>38100</xdr:rowOff>
    </xdr:from>
    <xdr:to>
      <xdr:col>11</xdr:col>
      <xdr:colOff>385762</xdr:colOff>
      <xdr:row>13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23812</xdr:colOff>
      <xdr:row>1</xdr:row>
      <xdr:rowOff>200025</xdr:rowOff>
    </xdr:from>
    <xdr:to>
      <xdr:col>21</xdr:col>
      <xdr:colOff>328612</xdr:colOff>
      <xdr:row>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78441</xdr:colOff>
      <xdr:row>26</xdr:row>
      <xdr:rowOff>1127312</xdr:rowOff>
    </xdr:from>
    <xdr:to>
      <xdr:col>16</xdr:col>
      <xdr:colOff>414617</xdr:colOff>
      <xdr:row>28</xdr:row>
      <xdr:rowOff>822512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605117</xdr:colOff>
      <xdr:row>60</xdr:row>
      <xdr:rowOff>712694</xdr:rowOff>
    </xdr:from>
    <xdr:to>
      <xdr:col>26</xdr:col>
      <xdr:colOff>336175</xdr:colOff>
      <xdr:row>64</xdr:row>
      <xdr:rowOff>94129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78441</xdr:colOff>
      <xdr:row>60</xdr:row>
      <xdr:rowOff>2124636</xdr:rowOff>
    </xdr:from>
    <xdr:to>
      <xdr:col>17</xdr:col>
      <xdr:colOff>414617</xdr:colOff>
      <xdr:row>69</xdr:row>
      <xdr:rowOff>385483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25"/>
  <sheetViews>
    <sheetView zoomScale="55" zoomScaleNormal="55" workbookViewId="0">
      <selection activeCell="P14" sqref="P14:X14"/>
    </sheetView>
  </sheetViews>
  <sheetFormatPr defaultRowHeight="15"/>
  <cols>
    <col min="2" max="2" width="17.28515625" customWidth="1"/>
    <col min="3" max="3" width="20.42578125" customWidth="1"/>
    <col min="4" max="4" width="13.5703125" customWidth="1"/>
    <col min="5" max="6" width="8.7109375" bestFit="1" customWidth="1"/>
    <col min="7" max="7" width="11.7109375" bestFit="1" customWidth="1"/>
    <col min="8" max="9" width="8.7109375" bestFit="1" customWidth="1"/>
    <col min="10" max="10" width="10.5703125" bestFit="1" customWidth="1"/>
    <col min="11" max="11" width="8.7109375" bestFit="1" customWidth="1"/>
    <col min="12" max="12" width="11.7109375" bestFit="1" customWidth="1"/>
    <col min="13" max="13" width="12.42578125" customWidth="1"/>
    <col min="14" max="15" width="11.7109375" bestFit="1" customWidth="1"/>
    <col min="16" max="16" width="16.85546875" bestFit="1" customWidth="1"/>
    <col min="17" max="17" width="14.28515625" customWidth="1"/>
    <col min="18" max="20" width="11.7109375" bestFit="1" customWidth="1"/>
    <col min="21" max="22" width="8.7109375" bestFit="1" customWidth="1"/>
    <col min="23" max="23" width="11.7109375" bestFit="1" customWidth="1"/>
    <col min="24" max="24" width="11.85546875" customWidth="1"/>
    <col min="25" max="28" width="8.7109375" bestFit="1" customWidth="1"/>
    <col min="29" max="29" width="6.7109375" bestFit="1" customWidth="1"/>
    <col min="30" max="30" width="12.140625" customWidth="1"/>
    <col min="31" max="31" width="16.85546875" bestFit="1" customWidth="1"/>
    <col min="32" max="32" width="12.5703125" customWidth="1"/>
    <col min="34" max="34" width="13.85546875" bestFit="1" customWidth="1"/>
    <col min="35" max="35" width="14" bestFit="1" customWidth="1"/>
    <col min="36" max="37" width="15" bestFit="1" customWidth="1"/>
    <col min="38" max="38" width="21.7109375" bestFit="1" customWidth="1"/>
  </cols>
  <sheetData>
    <row r="1" spans="2:38" ht="30.75">
      <c r="B1" s="116" t="s">
        <v>61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29"/>
      <c r="AH1" s="1"/>
      <c r="AI1" s="1"/>
      <c r="AJ1" s="1"/>
      <c r="AK1" s="1"/>
      <c r="AL1" s="1"/>
    </row>
    <row r="2" spans="2:38" ht="26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29"/>
      <c r="AH2" s="117" t="s">
        <v>48</v>
      </c>
      <c r="AI2" s="118"/>
      <c r="AJ2" s="118"/>
      <c r="AK2" s="118"/>
      <c r="AL2" s="119"/>
    </row>
    <row r="3" spans="2:38" ht="26.25">
      <c r="B3" s="120" t="s">
        <v>44</v>
      </c>
      <c r="C3" s="121"/>
      <c r="D3" s="123" t="s">
        <v>33</v>
      </c>
      <c r="E3" s="125" t="s">
        <v>0</v>
      </c>
      <c r="F3" s="125"/>
      <c r="G3" s="125"/>
      <c r="H3" s="126" t="s">
        <v>1</v>
      </c>
      <c r="I3" s="126"/>
      <c r="J3" s="126"/>
      <c r="K3" s="127" t="s">
        <v>2</v>
      </c>
      <c r="L3" s="127"/>
      <c r="M3" s="127"/>
      <c r="N3" s="127"/>
      <c r="O3" s="127"/>
      <c r="P3" s="124" t="s">
        <v>3</v>
      </c>
      <c r="Q3" s="124"/>
      <c r="R3" s="124"/>
      <c r="S3" s="124"/>
      <c r="T3" s="124"/>
      <c r="U3" s="124"/>
      <c r="V3" s="124"/>
      <c r="W3" s="124"/>
      <c r="X3" s="124"/>
      <c r="Y3" s="128" t="s">
        <v>4</v>
      </c>
      <c r="Z3" s="128"/>
      <c r="AA3" s="128"/>
      <c r="AB3" s="128"/>
      <c r="AC3" s="128"/>
      <c r="AD3" s="128"/>
      <c r="AE3" s="128"/>
      <c r="AF3" s="128"/>
      <c r="AH3" s="31" t="s">
        <v>0</v>
      </c>
      <c r="AI3" s="26" t="s">
        <v>5</v>
      </c>
      <c r="AJ3" s="26" t="s">
        <v>6</v>
      </c>
      <c r="AK3" s="26" t="s">
        <v>7</v>
      </c>
      <c r="AL3" s="26" t="s">
        <v>4</v>
      </c>
    </row>
    <row r="4" spans="2:38" ht="26.25">
      <c r="B4" s="120"/>
      <c r="C4" s="121"/>
      <c r="D4" s="123"/>
      <c r="E4" s="125"/>
      <c r="F4" s="125"/>
      <c r="G4" s="125"/>
      <c r="H4" s="126"/>
      <c r="I4" s="126"/>
      <c r="J4" s="126"/>
      <c r="K4" s="127"/>
      <c r="L4" s="127"/>
      <c r="M4" s="127"/>
      <c r="N4" s="127"/>
      <c r="O4" s="127"/>
      <c r="P4" s="71">
        <v>1</v>
      </c>
      <c r="Q4" s="71">
        <v>2</v>
      </c>
      <c r="R4" s="71">
        <v>3</v>
      </c>
      <c r="S4" s="71">
        <v>4</v>
      </c>
      <c r="T4" s="71">
        <v>5</v>
      </c>
      <c r="U4" s="71">
        <v>6</v>
      </c>
      <c r="V4" s="71">
        <v>7</v>
      </c>
      <c r="W4" s="71">
        <v>8</v>
      </c>
      <c r="X4" s="71">
        <v>9</v>
      </c>
      <c r="Y4" s="33">
        <v>1</v>
      </c>
      <c r="Z4" s="33">
        <v>2</v>
      </c>
      <c r="AA4" s="33">
        <v>3</v>
      </c>
      <c r="AB4" s="33">
        <v>4</v>
      </c>
      <c r="AC4" s="33">
        <v>4</v>
      </c>
      <c r="AD4" s="33">
        <v>6</v>
      </c>
      <c r="AE4" s="33">
        <v>7</v>
      </c>
      <c r="AF4" s="30">
        <v>8</v>
      </c>
      <c r="AH4" s="31"/>
      <c r="AI4" s="26"/>
      <c r="AJ4" s="26"/>
      <c r="AK4" s="26"/>
      <c r="AL4" s="26"/>
    </row>
    <row r="5" spans="2:38" ht="172.5">
      <c r="B5" s="122"/>
      <c r="C5" s="121"/>
      <c r="D5" s="123"/>
      <c r="E5" s="72" t="s">
        <v>34</v>
      </c>
      <c r="F5" s="72" t="s">
        <v>35</v>
      </c>
      <c r="G5" s="72" t="s">
        <v>8</v>
      </c>
      <c r="H5" s="22" t="s">
        <v>10</v>
      </c>
      <c r="I5" s="22" t="s">
        <v>9</v>
      </c>
      <c r="J5" s="22" t="s">
        <v>11</v>
      </c>
      <c r="K5" s="23" t="s">
        <v>12</v>
      </c>
      <c r="L5" s="23" t="s">
        <v>13</v>
      </c>
      <c r="M5" s="23" t="s">
        <v>60</v>
      </c>
      <c r="N5" s="23" t="s">
        <v>14</v>
      </c>
      <c r="O5" s="23" t="s">
        <v>55</v>
      </c>
      <c r="P5" s="24" t="s">
        <v>50</v>
      </c>
      <c r="Q5" s="24" t="s">
        <v>51</v>
      </c>
      <c r="R5" s="24" t="s">
        <v>15</v>
      </c>
      <c r="S5" s="24" t="s">
        <v>16</v>
      </c>
      <c r="T5" s="24" t="s">
        <v>17</v>
      </c>
      <c r="U5" s="24" t="s">
        <v>18</v>
      </c>
      <c r="V5" s="24" t="s">
        <v>19</v>
      </c>
      <c r="W5" s="24" t="s">
        <v>20</v>
      </c>
      <c r="X5" s="24" t="s">
        <v>21</v>
      </c>
      <c r="Y5" s="4" t="s">
        <v>22</v>
      </c>
      <c r="Z5" s="4" t="s">
        <v>23</v>
      </c>
      <c r="AA5" s="4" t="s">
        <v>24</v>
      </c>
      <c r="AB5" s="4" t="s">
        <v>59</v>
      </c>
      <c r="AC5" s="4" t="s">
        <v>58</v>
      </c>
      <c r="AD5" s="4" t="s">
        <v>57</v>
      </c>
      <c r="AE5" s="4" t="s">
        <v>25</v>
      </c>
      <c r="AF5" s="4" t="s">
        <v>49</v>
      </c>
      <c r="AH5" s="32"/>
      <c r="AI5" s="27"/>
      <c r="AJ5" s="27"/>
      <c r="AK5" s="27"/>
      <c r="AL5" s="27"/>
    </row>
    <row r="6" spans="2:38" ht="35.1" customHeight="1">
      <c r="B6" s="111" t="s">
        <v>26</v>
      </c>
      <c r="C6" s="73" t="s">
        <v>27</v>
      </c>
      <c r="D6" s="74">
        <v>3</v>
      </c>
      <c r="E6" s="67">
        <v>3</v>
      </c>
      <c r="F6" s="53">
        <v>0</v>
      </c>
      <c r="G6" s="54">
        <v>0</v>
      </c>
      <c r="H6" s="55">
        <v>0</v>
      </c>
      <c r="I6" s="55">
        <v>3</v>
      </c>
      <c r="J6" s="55">
        <v>0</v>
      </c>
      <c r="K6" s="56">
        <v>3</v>
      </c>
      <c r="L6" s="56">
        <v>0</v>
      </c>
      <c r="M6" s="56">
        <v>0</v>
      </c>
      <c r="N6" s="56">
        <v>0</v>
      </c>
      <c r="O6" s="56">
        <v>0</v>
      </c>
      <c r="P6" s="57">
        <v>0</v>
      </c>
      <c r="Q6" s="57">
        <v>0</v>
      </c>
      <c r="R6" s="57">
        <v>0</v>
      </c>
      <c r="S6" s="57">
        <v>0</v>
      </c>
      <c r="T6" s="57">
        <v>3</v>
      </c>
      <c r="U6" s="57">
        <v>0</v>
      </c>
      <c r="V6" s="57">
        <v>0</v>
      </c>
      <c r="W6" s="57">
        <v>0</v>
      </c>
      <c r="X6" s="57">
        <v>0</v>
      </c>
      <c r="Y6" s="58">
        <v>2</v>
      </c>
      <c r="Z6" s="58">
        <v>1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9">
        <v>0</v>
      </c>
      <c r="AH6" s="28" t="b">
        <f>D6=SUM(E6:G6)</f>
        <v>1</v>
      </c>
      <c r="AI6" s="28" t="b">
        <f>D6=SUM(H6:J6)</f>
        <v>1</v>
      </c>
      <c r="AJ6" s="28" t="b">
        <f>D6=SUM(K6:O6)</f>
        <v>1</v>
      </c>
      <c r="AK6" s="28" t="b">
        <f>D6=SUM(P6:X6)</f>
        <v>1</v>
      </c>
      <c r="AL6" s="28" t="b">
        <f>D6=SUM(Y6:AE6)</f>
        <v>1</v>
      </c>
    </row>
    <row r="7" spans="2:38" ht="35.1" customHeight="1">
      <c r="B7" s="111"/>
      <c r="C7" s="75" t="s">
        <v>28</v>
      </c>
      <c r="D7" s="74">
        <v>6</v>
      </c>
      <c r="E7" s="61">
        <v>1</v>
      </c>
      <c r="F7" s="60">
        <v>5</v>
      </c>
      <c r="G7" s="61">
        <v>0</v>
      </c>
      <c r="H7" s="62">
        <v>0</v>
      </c>
      <c r="I7" s="62">
        <v>6</v>
      </c>
      <c r="J7" s="62">
        <v>0</v>
      </c>
      <c r="K7" s="63">
        <v>5</v>
      </c>
      <c r="L7" s="63">
        <v>0</v>
      </c>
      <c r="M7" s="63">
        <v>0</v>
      </c>
      <c r="N7" s="63">
        <v>1</v>
      </c>
      <c r="O7" s="63">
        <v>0</v>
      </c>
      <c r="P7" s="64">
        <v>3</v>
      </c>
      <c r="Q7" s="64">
        <v>0</v>
      </c>
      <c r="R7" s="64">
        <v>1</v>
      </c>
      <c r="S7" s="64">
        <v>2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5">
        <v>1</v>
      </c>
      <c r="Z7" s="65">
        <v>2</v>
      </c>
      <c r="AA7" s="65">
        <v>2</v>
      </c>
      <c r="AB7" s="65">
        <v>1</v>
      </c>
      <c r="AC7" s="65">
        <v>0</v>
      </c>
      <c r="AD7" s="65">
        <v>0</v>
      </c>
      <c r="AE7" s="65">
        <v>0</v>
      </c>
      <c r="AF7" s="66">
        <v>0</v>
      </c>
      <c r="AH7" s="28" t="b">
        <f>D7=SUM(E7:G7)</f>
        <v>1</v>
      </c>
      <c r="AI7" s="28" t="b">
        <f t="shared" ref="AI7:AI15" si="0">D7=SUM(H7:J7)</f>
        <v>1</v>
      </c>
      <c r="AJ7" s="28" t="b">
        <f t="shared" ref="AJ7:AJ15" si="1">D7=SUM(K7:O7)</f>
        <v>1</v>
      </c>
      <c r="AK7" s="28" t="b">
        <f t="shared" ref="AK7:AK15" si="2">D7=SUM(P7:X7)</f>
        <v>1</v>
      </c>
      <c r="AL7" s="28" t="b">
        <f t="shared" ref="AL7:AL12" si="3">D7=SUM(Y7:AE7)</f>
        <v>1</v>
      </c>
    </row>
    <row r="8" spans="2:38" ht="35.1" customHeight="1">
      <c r="B8" s="111"/>
      <c r="C8" s="76" t="s">
        <v>29</v>
      </c>
      <c r="D8" s="77">
        <v>5</v>
      </c>
      <c r="E8" s="78">
        <v>1</v>
      </c>
      <c r="F8" s="78">
        <v>1</v>
      </c>
      <c r="G8" s="78">
        <v>3</v>
      </c>
      <c r="H8" s="79">
        <v>1</v>
      </c>
      <c r="I8" s="79">
        <v>2</v>
      </c>
      <c r="J8" s="79">
        <v>2</v>
      </c>
      <c r="K8" s="80">
        <v>5</v>
      </c>
      <c r="L8" s="80">
        <v>0</v>
      </c>
      <c r="M8" s="80">
        <v>0</v>
      </c>
      <c r="N8" s="80">
        <v>0</v>
      </c>
      <c r="O8" s="80">
        <v>0</v>
      </c>
      <c r="P8" s="81">
        <v>0</v>
      </c>
      <c r="Q8" s="81">
        <v>0</v>
      </c>
      <c r="R8" s="81">
        <v>2</v>
      </c>
      <c r="S8" s="81">
        <v>3</v>
      </c>
      <c r="T8" s="81">
        <v>0</v>
      </c>
      <c r="U8" s="81">
        <v>0</v>
      </c>
      <c r="V8" s="81">
        <v>0</v>
      </c>
      <c r="W8" s="81">
        <v>0</v>
      </c>
      <c r="X8" s="81">
        <v>0</v>
      </c>
      <c r="Y8" s="82">
        <v>3</v>
      </c>
      <c r="Z8" s="82">
        <v>0</v>
      </c>
      <c r="AA8" s="82">
        <v>0</v>
      </c>
      <c r="AB8" s="82">
        <v>0</v>
      </c>
      <c r="AC8" s="82">
        <v>0</v>
      </c>
      <c r="AD8" s="82">
        <v>0</v>
      </c>
      <c r="AE8" s="82">
        <v>0</v>
      </c>
      <c r="AF8" s="82">
        <v>2</v>
      </c>
      <c r="AH8" s="28" t="b">
        <f t="shared" ref="AH8:AH15" si="4">D8=SUM(E8:G8)</f>
        <v>1</v>
      </c>
      <c r="AI8" s="28" t="b">
        <f t="shared" si="0"/>
        <v>1</v>
      </c>
      <c r="AJ8" s="28" t="b">
        <f t="shared" si="1"/>
        <v>1</v>
      </c>
      <c r="AK8" s="28" t="b">
        <f t="shared" si="2"/>
        <v>1</v>
      </c>
      <c r="AL8" s="28" t="b">
        <f>D8=SUM(Y8:AF8)</f>
        <v>1</v>
      </c>
    </row>
    <row r="9" spans="2:38" ht="35.1" customHeight="1">
      <c r="B9" s="111"/>
      <c r="C9" s="83" t="s">
        <v>30</v>
      </c>
      <c r="D9" s="84">
        <v>5</v>
      </c>
      <c r="E9" s="85">
        <v>3</v>
      </c>
      <c r="F9" s="85">
        <v>2</v>
      </c>
      <c r="G9" s="85">
        <v>0</v>
      </c>
      <c r="H9" s="86">
        <v>0</v>
      </c>
      <c r="I9" s="86">
        <v>4</v>
      </c>
      <c r="J9" s="86">
        <v>1</v>
      </c>
      <c r="K9" s="87">
        <v>1</v>
      </c>
      <c r="L9" s="87">
        <v>0</v>
      </c>
      <c r="M9" s="87">
        <v>4</v>
      </c>
      <c r="N9" s="87">
        <v>0</v>
      </c>
      <c r="O9" s="87">
        <v>0</v>
      </c>
      <c r="P9" s="88">
        <v>0</v>
      </c>
      <c r="Q9" s="88">
        <v>1</v>
      </c>
      <c r="R9" s="88">
        <v>2</v>
      </c>
      <c r="S9" s="88">
        <v>0</v>
      </c>
      <c r="T9" s="88">
        <v>1</v>
      </c>
      <c r="U9" s="88">
        <v>0</v>
      </c>
      <c r="V9" s="88">
        <v>0</v>
      </c>
      <c r="W9" s="88">
        <v>1</v>
      </c>
      <c r="X9" s="88">
        <v>0</v>
      </c>
      <c r="Y9" s="89">
        <v>2</v>
      </c>
      <c r="Z9" s="89">
        <v>1</v>
      </c>
      <c r="AA9" s="89">
        <v>1</v>
      </c>
      <c r="AB9" s="89">
        <v>0</v>
      </c>
      <c r="AC9" s="89">
        <v>0</v>
      </c>
      <c r="AD9" s="89">
        <v>0</v>
      </c>
      <c r="AE9" s="89">
        <v>1</v>
      </c>
      <c r="AF9" s="70">
        <v>0</v>
      </c>
      <c r="AH9" s="28" t="b">
        <f t="shared" si="4"/>
        <v>1</v>
      </c>
      <c r="AI9" s="28" t="b">
        <f t="shared" si="0"/>
        <v>1</v>
      </c>
      <c r="AJ9" s="28" t="b">
        <f t="shared" si="1"/>
        <v>1</v>
      </c>
      <c r="AK9" s="28" t="b">
        <f t="shared" si="2"/>
        <v>1</v>
      </c>
      <c r="AL9" s="28" t="b">
        <f t="shared" si="3"/>
        <v>1</v>
      </c>
    </row>
    <row r="10" spans="2:38" ht="60" customHeight="1">
      <c r="B10" s="112" t="s">
        <v>45</v>
      </c>
      <c r="C10" s="112"/>
      <c r="D10" s="68">
        <f t="shared" ref="D10:AF10" si="5">SUM(D6:D9)</f>
        <v>19</v>
      </c>
      <c r="E10" s="68">
        <f t="shared" si="5"/>
        <v>8</v>
      </c>
      <c r="F10" s="68">
        <f t="shared" si="5"/>
        <v>8</v>
      </c>
      <c r="G10" s="68">
        <f t="shared" si="5"/>
        <v>3</v>
      </c>
      <c r="H10" s="68">
        <f t="shared" si="5"/>
        <v>1</v>
      </c>
      <c r="I10" s="68">
        <f t="shared" si="5"/>
        <v>15</v>
      </c>
      <c r="J10" s="68">
        <f t="shared" si="5"/>
        <v>3</v>
      </c>
      <c r="K10" s="68">
        <f t="shared" si="5"/>
        <v>14</v>
      </c>
      <c r="L10" s="68">
        <f t="shared" si="5"/>
        <v>0</v>
      </c>
      <c r="M10" s="68">
        <f t="shared" si="5"/>
        <v>4</v>
      </c>
      <c r="N10" s="68">
        <f t="shared" si="5"/>
        <v>1</v>
      </c>
      <c r="O10" s="68">
        <f t="shared" si="5"/>
        <v>0</v>
      </c>
      <c r="P10" s="68">
        <f t="shared" si="5"/>
        <v>3</v>
      </c>
      <c r="Q10" s="68">
        <f t="shared" si="5"/>
        <v>1</v>
      </c>
      <c r="R10" s="68">
        <f t="shared" si="5"/>
        <v>5</v>
      </c>
      <c r="S10" s="68">
        <f t="shared" si="5"/>
        <v>5</v>
      </c>
      <c r="T10" s="68">
        <f t="shared" si="5"/>
        <v>4</v>
      </c>
      <c r="U10" s="68">
        <f t="shared" si="5"/>
        <v>0</v>
      </c>
      <c r="V10" s="68">
        <f t="shared" si="5"/>
        <v>0</v>
      </c>
      <c r="W10" s="68">
        <f t="shared" si="5"/>
        <v>1</v>
      </c>
      <c r="X10" s="68">
        <f t="shared" si="5"/>
        <v>0</v>
      </c>
      <c r="Y10" s="68">
        <f t="shared" si="5"/>
        <v>8</v>
      </c>
      <c r="Z10" s="68">
        <f t="shared" si="5"/>
        <v>4</v>
      </c>
      <c r="AA10" s="68">
        <f t="shared" si="5"/>
        <v>3</v>
      </c>
      <c r="AB10" s="68">
        <f t="shared" si="5"/>
        <v>1</v>
      </c>
      <c r="AC10" s="68">
        <f t="shared" si="5"/>
        <v>0</v>
      </c>
      <c r="AD10" s="68">
        <f t="shared" si="5"/>
        <v>0</v>
      </c>
      <c r="AE10" s="68">
        <f t="shared" si="5"/>
        <v>1</v>
      </c>
      <c r="AF10" s="69">
        <f t="shared" si="5"/>
        <v>2</v>
      </c>
      <c r="AH10" s="28" t="b">
        <f t="shared" si="4"/>
        <v>1</v>
      </c>
      <c r="AI10" s="28" t="b">
        <f t="shared" si="0"/>
        <v>1</v>
      </c>
      <c r="AJ10" s="28" t="b">
        <f t="shared" si="1"/>
        <v>1</v>
      </c>
      <c r="AK10" s="28" t="b">
        <f t="shared" si="2"/>
        <v>1</v>
      </c>
      <c r="AL10" s="28" t="b">
        <f>D10=SUM(Y10:AF10)</f>
        <v>1</v>
      </c>
    </row>
    <row r="11" spans="2:38" ht="35.1" customHeight="1">
      <c r="B11" s="111" t="s">
        <v>31</v>
      </c>
      <c r="C11" s="73" t="s">
        <v>27</v>
      </c>
      <c r="D11" s="74">
        <v>8</v>
      </c>
      <c r="E11" s="67">
        <v>5</v>
      </c>
      <c r="F11" s="67">
        <v>3</v>
      </c>
      <c r="G11" s="67">
        <v>0</v>
      </c>
      <c r="H11" s="55">
        <v>0</v>
      </c>
      <c r="I11" s="55">
        <v>8</v>
      </c>
      <c r="J11" s="55">
        <v>0</v>
      </c>
      <c r="K11" s="56">
        <v>7</v>
      </c>
      <c r="L11" s="56">
        <v>0</v>
      </c>
      <c r="M11" s="56">
        <v>0</v>
      </c>
      <c r="N11" s="56">
        <v>1</v>
      </c>
      <c r="O11" s="56">
        <v>0</v>
      </c>
      <c r="P11" s="57">
        <v>5</v>
      </c>
      <c r="Q11" s="57">
        <v>0</v>
      </c>
      <c r="R11" s="57">
        <v>0</v>
      </c>
      <c r="S11" s="57">
        <v>3</v>
      </c>
      <c r="T11" s="57">
        <v>0</v>
      </c>
      <c r="U11" s="57">
        <v>0</v>
      </c>
      <c r="V11" s="57">
        <v>0</v>
      </c>
      <c r="W11" s="57">
        <v>0</v>
      </c>
      <c r="X11" s="57">
        <v>0</v>
      </c>
      <c r="Y11" s="58">
        <v>2</v>
      </c>
      <c r="Z11" s="58">
        <v>3</v>
      </c>
      <c r="AA11" s="58">
        <v>2</v>
      </c>
      <c r="AB11" s="58">
        <v>1</v>
      </c>
      <c r="AC11" s="58">
        <v>0</v>
      </c>
      <c r="AD11" s="58">
        <v>0</v>
      </c>
      <c r="AE11" s="58">
        <v>0</v>
      </c>
      <c r="AF11" s="66">
        <v>0</v>
      </c>
      <c r="AH11" s="28" t="b">
        <f t="shared" si="4"/>
        <v>1</v>
      </c>
      <c r="AI11" s="28" t="b">
        <f>D11=SUM(H11:J11)</f>
        <v>1</v>
      </c>
      <c r="AJ11" s="28" t="b">
        <f t="shared" si="1"/>
        <v>1</v>
      </c>
      <c r="AK11" s="28" t="b">
        <f t="shared" si="2"/>
        <v>1</v>
      </c>
      <c r="AL11" s="28" t="b">
        <f>D11=SUM(Y11:AF11)</f>
        <v>1</v>
      </c>
    </row>
    <row r="12" spans="2:38" ht="35.1" customHeight="1">
      <c r="B12" s="111"/>
      <c r="C12" s="75" t="s">
        <v>28</v>
      </c>
      <c r="D12" s="74">
        <v>6</v>
      </c>
      <c r="E12" s="61">
        <v>3</v>
      </c>
      <c r="F12" s="61">
        <v>3</v>
      </c>
      <c r="G12" s="61">
        <v>0</v>
      </c>
      <c r="H12" s="62">
        <v>0</v>
      </c>
      <c r="I12" s="62">
        <v>6</v>
      </c>
      <c r="J12" s="62">
        <v>0</v>
      </c>
      <c r="K12" s="63">
        <v>5</v>
      </c>
      <c r="L12" s="63">
        <v>0</v>
      </c>
      <c r="M12" s="63">
        <v>1</v>
      </c>
      <c r="N12" s="63">
        <v>0</v>
      </c>
      <c r="O12" s="63">
        <v>0</v>
      </c>
      <c r="P12" s="64">
        <v>2</v>
      </c>
      <c r="Q12" s="64">
        <v>0</v>
      </c>
      <c r="R12" s="64">
        <v>1</v>
      </c>
      <c r="S12" s="64">
        <v>3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5">
        <v>1</v>
      </c>
      <c r="Z12" s="65">
        <v>4</v>
      </c>
      <c r="AA12" s="65">
        <v>1</v>
      </c>
      <c r="AB12" s="65">
        <v>0</v>
      </c>
      <c r="AC12" s="65">
        <v>0</v>
      </c>
      <c r="AD12" s="65">
        <v>0</v>
      </c>
      <c r="AE12" s="65">
        <v>0</v>
      </c>
      <c r="AF12" s="66">
        <v>0</v>
      </c>
      <c r="AH12" s="28" t="b">
        <f t="shared" si="4"/>
        <v>1</v>
      </c>
      <c r="AI12" s="28" t="b">
        <f t="shared" si="0"/>
        <v>1</v>
      </c>
      <c r="AJ12" s="28" t="b">
        <f t="shared" si="1"/>
        <v>1</v>
      </c>
      <c r="AK12" s="28" t="b">
        <f t="shared" si="2"/>
        <v>1</v>
      </c>
      <c r="AL12" s="28" t="b">
        <f t="shared" si="3"/>
        <v>1</v>
      </c>
    </row>
    <row r="13" spans="2:38" ht="35.1" customHeight="1">
      <c r="B13" s="111"/>
      <c r="C13" s="76" t="s">
        <v>29</v>
      </c>
      <c r="D13" s="77">
        <v>41</v>
      </c>
      <c r="E13" s="78">
        <v>23</v>
      </c>
      <c r="F13" s="78">
        <v>16</v>
      </c>
      <c r="G13" s="78">
        <v>2</v>
      </c>
      <c r="H13" s="79">
        <v>24</v>
      </c>
      <c r="I13" s="79">
        <v>13</v>
      </c>
      <c r="J13" s="79">
        <v>4</v>
      </c>
      <c r="K13" s="80">
        <v>41</v>
      </c>
      <c r="L13" s="80">
        <v>0</v>
      </c>
      <c r="M13" s="80">
        <v>0</v>
      </c>
      <c r="N13" s="80">
        <v>0</v>
      </c>
      <c r="O13" s="80">
        <v>0</v>
      </c>
      <c r="P13" s="81">
        <v>0</v>
      </c>
      <c r="Q13" s="81">
        <v>0</v>
      </c>
      <c r="R13" s="81">
        <v>6</v>
      </c>
      <c r="S13" s="81">
        <v>11</v>
      </c>
      <c r="T13" s="81">
        <v>20</v>
      </c>
      <c r="U13" s="81">
        <v>4</v>
      </c>
      <c r="V13" s="81">
        <v>0</v>
      </c>
      <c r="W13" s="81">
        <v>0</v>
      </c>
      <c r="X13" s="81">
        <v>0</v>
      </c>
      <c r="Y13" s="82">
        <v>15</v>
      </c>
      <c r="Z13" s="82">
        <v>4</v>
      </c>
      <c r="AA13" s="82">
        <v>16</v>
      </c>
      <c r="AB13" s="82">
        <v>1</v>
      </c>
      <c r="AC13" s="82">
        <v>4</v>
      </c>
      <c r="AD13" s="82">
        <v>0</v>
      </c>
      <c r="AE13" s="82">
        <v>1</v>
      </c>
      <c r="AF13" s="82">
        <v>0</v>
      </c>
      <c r="AH13" s="28" t="b">
        <f t="shared" si="4"/>
        <v>1</v>
      </c>
      <c r="AI13" s="28" t="b">
        <f t="shared" si="0"/>
        <v>1</v>
      </c>
      <c r="AJ13" s="28" t="b">
        <f t="shared" si="1"/>
        <v>1</v>
      </c>
      <c r="AK13" s="28" t="b">
        <f>D13=SUM(P13:X13)</f>
        <v>1</v>
      </c>
      <c r="AL13" s="28" t="b">
        <f>D13=SUM(Y13:AF13)</f>
        <v>1</v>
      </c>
    </row>
    <row r="14" spans="2:38" ht="35.1" customHeight="1">
      <c r="B14" s="111"/>
      <c r="C14" s="83" t="s">
        <v>30</v>
      </c>
      <c r="D14" s="77">
        <v>8</v>
      </c>
      <c r="E14" s="90">
        <v>4</v>
      </c>
      <c r="F14" s="90">
        <v>4</v>
      </c>
      <c r="G14" s="90">
        <v>0</v>
      </c>
      <c r="H14" s="91">
        <v>1</v>
      </c>
      <c r="I14" s="91">
        <v>7</v>
      </c>
      <c r="J14" s="91">
        <v>0</v>
      </c>
      <c r="K14" s="92">
        <v>6</v>
      </c>
      <c r="L14" s="92">
        <v>0</v>
      </c>
      <c r="M14" s="92">
        <v>2</v>
      </c>
      <c r="N14" s="92">
        <v>0</v>
      </c>
      <c r="O14" s="92">
        <v>0</v>
      </c>
      <c r="P14" s="93">
        <v>2</v>
      </c>
      <c r="Q14" s="93">
        <v>0</v>
      </c>
      <c r="R14" s="93">
        <v>0</v>
      </c>
      <c r="S14" s="93">
        <v>3</v>
      </c>
      <c r="T14" s="93">
        <v>1</v>
      </c>
      <c r="U14" s="93">
        <v>2</v>
      </c>
      <c r="V14" s="93">
        <v>0</v>
      </c>
      <c r="W14" s="93">
        <v>0</v>
      </c>
      <c r="X14" s="93">
        <v>0</v>
      </c>
      <c r="Y14" s="94">
        <v>1</v>
      </c>
      <c r="Z14" s="94">
        <v>3</v>
      </c>
      <c r="AA14" s="94">
        <v>3</v>
      </c>
      <c r="AB14" s="94">
        <v>0</v>
      </c>
      <c r="AC14" s="94">
        <v>0</v>
      </c>
      <c r="AD14" s="94">
        <v>1</v>
      </c>
      <c r="AE14" s="94">
        <v>0</v>
      </c>
      <c r="AF14" s="66">
        <v>0</v>
      </c>
      <c r="AH14" s="28" t="b">
        <f t="shared" si="4"/>
        <v>1</v>
      </c>
      <c r="AI14" s="28" t="b">
        <f t="shared" si="0"/>
        <v>1</v>
      </c>
      <c r="AJ14" s="28" t="b">
        <f t="shared" si="1"/>
        <v>1</v>
      </c>
      <c r="AK14" s="28" t="b">
        <f t="shared" si="2"/>
        <v>1</v>
      </c>
      <c r="AL14" s="28" t="b">
        <f>D14=SUM(Y14:AF14)</f>
        <v>1</v>
      </c>
    </row>
    <row r="15" spans="2:38" ht="59.25" customHeight="1">
      <c r="B15" s="113" t="s">
        <v>46</v>
      </c>
      <c r="C15" s="113"/>
      <c r="D15" s="95">
        <f t="shared" ref="D15:AF15" si="6">SUM(D11:D14)</f>
        <v>63</v>
      </c>
      <c r="E15" s="95">
        <f t="shared" si="6"/>
        <v>35</v>
      </c>
      <c r="F15" s="95">
        <f t="shared" si="6"/>
        <v>26</v>
      </c>
      <c r="G15" s="95">
        <f t="shared" si="6"/>
        <v>2</v>
      </c>
      <c r="H15" s="95">
        <f t="shared" si="6"/>
        <v>25</v>
      </c>
      <c r="I15" s="95">
        <f t="shared" si="6"/>
        <v>34</v>
      </c>
      <c r="J15" s="95">
        <f t="shared" si="6"/>
        <v>4</v>
      </c>
      <c r="K15" s="95">
        <f t="shared" si="6"/>
        <v>59</v>
      </c>
      <c r="L15" s="96">
        <f t="shared" si="6"/>
        <v>0</v>
      </c>
      <c r="M15" s="96">
        <f t="shared" si="6"/>
        <v>3</v>
      </c>
      <c r="N15" s="96">
        <f t="shared" si="6"/>
        <v>1</v>
      </c>
      <c r="O15" s="96">
        <f t="shared" si="6"/>
        <v>0</v>
      </c>
      <c r="P15" s="97">
        <f t="shared" si="6"/>
        <v>9</v>
      </c>
      <c r="Q15" s="97">
        <f t="shared" si="6"/>
        <v>0</v>
      </c>
      <c r="R15" s="95">
        <f t="shared" si="6"/>
        <v>7</v>
      </c>
      <c r="S15" s="95">
        <f t="shared" si="6"/>
        <v>20</v>
      </c>
      <c r="T15" s="95">
        <f t="shared" si="6"/>
        <v>21</v>
      </c>
      <c r="U15" s="95">
        <f t="shared" si="6"/>
        <v>6</v>
      </c>
      <c r="V15" s="97">
        <f t="shared" si="6"/>
        <v>0</v>
      </c>
      <c r="W15" s="95">
        <f t="shared" si="6"/>
        <v>0</v>
      </c>
      <c r="X15" s="95">
        <f t="shared" si="6"/>
        <v>0</v>
      </c>
      <c r="Y15" s="95">
        <f t="shared" si="6"/>
        <v>19</v>
      </c>
      <c r="Z15" s="95">
        <f t="shared" si="6"/>
        <v>14</v>
      </c>
      <c r="AA15" s="95">
        <f t="shared" si="6"/>
        <v>22</v>
      </c>
      <c r="AB15" s="95">
        <f t="shared" si="6"/>
        <v>2</v>
      </c>
      <c r="AC15" s="95">
        <f t="shared" si="6"/>
        <v>4</v>
      </c>
      <c r="AD15" s="98">
        <f t="shared" si="6"/>
        <v>1</v>
      </c>
      <c r="AE15" s="95">
        <f t="shared" si="6"/>
        <v>1</v>
      </c>
      <c r="AF15" s="95">
        <f t="shared" si="6"/>
        <v>0</v>
      </c>
      <c r="AH15" s="28" t="b">
        <f t="shared" si="4"/>
        <v>1</v>
      </c>
      <c r="AI15" s="28" t="b">
        <f t="shared" si="0"/>
        <v>1</v>
      </c>
      <c r="AJ15" s="28" t="b">
        <f t="shared" si="1"/>
        <v>1</v>
      </c>
      <c r="AK15" s="28" t="b">
        <f t="shared" si="2"/>
        <v>1</v>
      </c>
      <c r="AL15" s="28" t="b">
        <f>D15=SUM(Y15:AF15)</f>
        <v>1</v>
      </c>
    </row>
    <row r="16" spans="2:38" s="52" customFormat="1" ht="59.25" customHeight="1">
      <c r="B16" s="115" t="s">
        <v>54</v>
      </c>
      <c r="C16" s="115"/>
      <c r="D16" s="99">
        <f>D10+D15</f>
        <v>82</v>
      </c>
      <c r="E16" s="99">
        <f t="shared" ref="E16:AF16" si="7">E10+E15</f>
        <v>43</v>
      </c>
      <c r="F16" s="99">
        <f t="shared" si="7"/>
        <v>34</v>
      </c>
      <c r="G16" s="99">
        <f t="shared" si="7"/>
        <v>5</v>
      </c>
      <c r="H16" s="99">
        <f t="shared" si="7"/>
        <v>26</v>
      </c>
      <c r="I16" s="99">
        <f t="shared" si="7"/>
        <v>49</v>
      </c>
      <c r="J16" s="99">
        <f t="shared" si="7"/>
        <v>7</v>
      </c>
      <c r="K16" s="99">
        <f t="shared" si="7"/>
        <v>73</v>
      </c>
      <c r="L16" s="99">
        <f t="shared" si="7"/>
        <v>0</v>
      </c>
      <c r="M16" s="99">
        <f t="shared" si="7"/>
        <v>7</v>
      </c>
      <c r="N16" s="99">
        <f t="shared" si="7"/>
        <v>2</v>
      </c>
      <c r="O16" s="99">
        <f t="shared" si="7"/>
        <v>0</v>
      </c>
      <c r="P16" s="99">
        <f t="shared" si="7"/>
        <v>12</v>
      </c>
      <c r="Q16" s="99">
        <f t="shared" si="7"/>
        <v>1</v>
      </c>
      <c r="R16" s="99">
        <f t="shared" si="7"/>
        <v>12</v>
      </c>
      <c r="S16" s="99">
        <f t="shared" si="7"/>
        <v>25</v>
      </c>
      <c r="T16" s="99">
        <f t="shared" si="7"/>
        <v>25</v>
      </c>
      <c r="U16" s="99">
        <f t="shared" si="7"/>
        <v>6</v>
      </c>
      <c r="V16" s="99">
        <f t="shared" si="7"/>
        <v>0</v>
      </c>
      <c r="W16" s="99">
        <f t="shared" si="7"/>
        <v>1</v>
      </c>
      <c r="X16" s="99">
        <f t="shared" si="7"/>
        <v>0</v>
      </c>
      <c r="Y16" s="99">
        <f t="shared" si="7"/>
        <v>27</v>
      </c>
      <c r="Z16" s="99">
        <f t="shared" si="7"/>
        <v>18</v>
      </c>
      <c r="AA16" s="99">
        <f t="shared" si="7"/>
        <v>25</v>
      </c>
      <c r="AB16" s="99">
        <f t="shared" si="7"/>
        <v>3</v>
      </c>
      <c r="AC16" s="99">
        <f t="shared" si="7"/>
        <v>4</v>
      </c>
      <c r="AD16" s="99">
        <f t="shared" si="7"/>
        <v>1</v>
      </c>
      <c r="AE16" s="99">
        <f t="shared" si="7"/>
        <v>2</v>
      </c>
      <c r="AF16" s="99">
        <f t="shared" si="7"/>
        <v>2</v>
      </c>
      <c r="AH16" s="28" t="b">
        <f t="shared" ref="AH16" si="8">D16=SUM(E16:G16)</f>
        <v>1</v>
      </c>
      <c r="AI16" s="28" t="b">
        <f t="shared" ref="AI16" si="9">D16=SUM(H16:J16)</f>
        <v>1</v>
      </c>
      <c r="AJ16" s="28" t="b">
        <f t="shared" ref="AJ16" si="10">D16=SUM(K16:O16)</f>
        <v>1</v>
      </c>
      <c r="AK16" s="28" t="b">
        <f t="shared" ref="AK16" si="11">D16=SUM(P16:X16)</f>
        <v>1</v>
      </c>
      <c r="AL16" s="28" t="b">
        <f>D16=SUM(Y16:AF16)</f>
        <v>1</v>
      </c>
    </row>
    <row r="17" spans="2:38"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1"/>
      <c r="AH17" s="1"/>
      <c r="AI17" s="1"/>
      <c r="AJ17" s="1"/>
      <c r="AK17" s="1"/>
      <c r="AL17" s="1"/>
    </row>
    <row r="18" spans="2:38" ht="58.5" customHeight="1">
      <c r="B18" s="114" t="s">
        <v>43</v>
      </c>
      <c r="C18" s="114"/>
      <c r="D18" s="133" t="s">
        <v>36</v>
      </c>
      <c r="E18" s="133"/>
      <c r="F18" s="133"/>
      <c r="G18" s="133"/>
      <c r="H18" s="133"/>
      <c r="I18" s="134" t="s">
        <v>37</v>
      </c>
      <c r="J18" s="134"/>
      <c r="K18" s="134"/>
      <c r="L18" s="134"/>
      <c r="M18" s="134"/>
      <c r="N18" s="129" t="s">
        <v>42</v>
      </c>
      <c r="O18" s="129"/>
      <c r="P18" s="129"/>
      <c r="Q18" s="129"/>
      <c r="R18" s="129"/>
      <c r="S18" s="130" t="s">
        <v>38</v>
      </c>
      <c r="T18" s="130"/>
      <c r="U18" s="130"/>
      <c r="V18" s="130"/>
      <c r="W18" s="130"/>
      <c r="X18" s="131" t="s">
        <v>41</v>
      </c>
      <c r="Y18" s="131"/>
      <c r="Z18" s="131"/>
      <c r="AA18" s="131"/>
      <c r="AB18" s="131"/>
      <c r="AC18" s="132" t="s">
        <v>39</v>
      </c>
      <c r="AD18" s="132"/>
      <c r="AE18" s="132"/>
      <c r="AF18" s="102"/>
      <c r="AH18" s="25"/>
      <c r="AI18" s="25"/>
      <c r="AJ18" s="25"/>
      <c r="AK18" s="25"/>
      <c r="AL18" s="25"/>
    </row>
    <row r="19" spans="2:38" ht="113.25" customHeight="1">
      <c r="B19" s="20" t="s">
        <v>29</v>
      </c>
      <c r="C19" s="21" t="s">
        <v>30</v>
      </c>
      <c r="D19" s="34" t="s">
        <v>27</v>
      </c>
      <c r="E19" s="5" t="s">
        <v>28</v>
      </c>
      <c r="F19" s="6" t="s">
        <v>29</v>
      </c>
      <c r="G19" s="7" t="s">
        <v>30</v>
      </c>
      <c r="H19" s="35" t="s">
        <v>32</v>
      </c>
      <c r="I19" s="36" t="s">
        <v>27</v>
      </c>
      <c r="J19" s="8" t="s">
        <v>28</v>
      </c>
      <c r="K19" s="9" t="s">
        <v>29</v>
      </c>
      <c r="L19" s="10" t="s">
        <v>30</v>
      </c>
      <c r="M19" s="37" t="s">
        <v>32</v>
      </c>
      <c r="N19" s="38" t="s">
        <v>27</v>
      </c>
      <c r="O19" s="11" t="s">
        <v>28</v>
      </c>
      <c r="P19" s="12" t="s">
        <v>29</v>
      </c>
      <c r="Q19" s="13" t="s">
        <v>30</v>
      </c>
      <c r="R19" s="39" t="s">
        <v>32</v>
      </c>
      <c r="S19" s="40" t="s">
        <v>27</v>
      </c>
      <c r="T19" s="14" t="s">
        <v>28</v>
      </c>
      <c r="U19" s="15" t="s">
        <v>29</v>
      </c>
      <c r="V19" s="16" t="s">
        <v>30</v>
      </c>
      <c r="W19" s="41" t="s">
        <v>32</v>
      </c>
      <c r="X19" s="42" t="s">
        <v>27</v>
      </c>
      <c r="Y19" s="17" t="s">
        <v>28</v>
      </c>
      <c r="Z19" s="18" t="s">
        <v>29</v>
      </c>
      <c r="AA19" s="19" t="s">
        <v>30</v>
      </c>
      <c r="AB19" s="43" t="s">
        <v>32</v>
      </c>
      <c r="AC19" s="44" t="s">
        <v>47</v>
      </c>
      <c r="AD19" s="44" t="s">
        <v>56</v>
      </c>
      <c r="AE19" s="44" t="s">
        <v>40</v>
      </c>
      <c r="AF19" s="102"/>
      <c r="AH19" s="2"/>
      <c r="AI19" s="2"/>
      <c r="AJ19" s="2"/>
      <c r="AK19" s="2"/>
      <c r="AL19" s="2"/>
    </row>
    <row r="20" spans="2:38" ht="53.25" customHeight="1">
      <c r="B20" s="45">
        <v>0</v>
      </c>
      <c r="C20" s="45">
        <v>0</v>
      </c>
      <c r="D20" s="45">
        <v>12</v>
      </c>
      <c r="E20" s="45">
        <v>12</v>
      </c>
      <c r="F20" s="46">
        <v>91</v>
      </c>
      <c r="G20" s="45">
        <v>17</v>
      </c>
      <c r="H20" s="45">
        <f>SUM(D20:G20)</f>
        <v>132</v>
      </c>
      <c r="I20" s="47">
        <v>0</v>
      </c>
      <c r="J20" s="47">
        <v>0</v>
      </c>
      <c r="K20" s="48">
        <v>0</v>
      </c>
      <c r="L20" s="47">
        <v>0</v>
      </c>
      <c r="M20" s="47">
        <v>0</v>
      </c>
      <c r="N20" s="49">
        <v>0</v>
      </c>
      <c r="O20" s="49">
        <v>0</v>
      </c>
      <c r="P20" s="49">
        <v>0</v>
      </c>
      <c r="Q20" s="49">
        <v>0</v>
      </c>
      <c r="R20" s="49">
        <f>SUM(N20:Q20)</f>
        <v>0</v>
      </c>
      <c r="S20" s="50">
        <v>8</v>
      </c>
      <c r="T20" s="50">
        <v>6</v>
      </c>
      <c r="U20" s="50">
        <v>36</v>
      </c>
      <c r="V20" s="50">
        <v>42</v>
      </c>
      <c r="W20" s="50">
        <f>SUM(S20:V20)</f>
        <v>92</v>
      </c>
      <c r="X20" s="51">
        <v>0</v>
      </c>
      <c r="Y20" s="51">
        <v>0</v>
      </c>
      <c r="Z20" s="51">
        <v>10</v>
      </c>
      <c r="AA20" s="51">
        <v>0</v>
      </c>
      <c r="AB20" s="51">
        <f>SUM(X20:AA20)</f>
        <v>10</v>
      </c>
      <c r="AC20" s="46">
        <v>0</v>
      </c>
      <c r="AD20" s="46">
        <v>3</v>
      </c>
      <c r="AE20" s="45">
        <v>1</v>
      </c>
      <c r="AF20" s="102"/>
      <c r="AH20" s="3"/>
      <c r="AI20" s="3"/>
      <c r="AJ20" s="3"/>
      <c r="AK20" s="3"/>
      <c r="AL20" s="3"/>
    </row>
    <row r="24" spans="2:38">
      <c r="AI24" t="s">
        <v>53</v>
      </c>
    </row>
    <row r="25" spans="2:38">
      <c r="D25" t="s">
        <v>52</v>
      </c>
    </row>
  </sheetData>
  <mergeCells count="21">
    <mergeCell ref="N18:R18"/>
    <mergeCell ref="S18:W18"/>
    <mergeCell ref="X18:AB18"/>
    <mergeCell ref="AC18:AE18"/>
    <mergeCell ref="D18:H18"/>
    <mergeCell ref="I18:M18"/>
    <mergeCell ref="B1:AE1"/>
    <mergeCell ref="AH2:AL2"/>
    <mergeCell ref="B3:C5"/>
    <mergeCell ref="D3:D5"/>
    <mergeCell ref="P3:X3"/>
    <mergeCell ref="E3:G4"/>
    <mergeCell ref="H3:J4"/>
    <mergeCell ref="K3:O4"/>
    <mergeCell ref="Y3:AF3"/>
    <mergeCell ref="B6:B9"/>
    <mergeCell ref="B10:C10"/>
    <mergeCell ref="B11:B14"/>
    <mergeCell ref="B15:C15"/>
    <mergeCell ref="B18:C18"/>
    <mergeCell ref="B16:C16"/>
  </mergeCells>
  <conditionalFormatting sqref="AH6:AL16">
    <cfRule type="cellIs" dxfId="1" priority="1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25"/>
  <sheetViews>
    <sheetView zoomScale="55" zoomScaleNormal="55" workbookViewId="0">
      <selection activeCell="P14" sqref="P14:X14"/>
    </sheetView>
  </sheetViews>
  <sheetFormatPr defaultRowHeight="15"/>
  <cols>
    <col min="2" max="2" width="17.28515625" customWidth="1"/>
    <col min="3" max="3" width="20.42578125" customWidth="1"/>
    <col min="4" max="4" width="13.5703125" customWidth="1"/>
    <col min="5" max="6" width="8.7109375" bestFit="1" customWidth="1"/>
    <col min="7" max="7" width="11.7109375" bestFit="1" customWidth="1"/>
    <col min="8" max="9" width="8.7109375" bestFit="1" customWidth="1"/>
    <col min="10" max="10" width="10.5703125" bestFit="1" customWidth="1"/>
    <col min="11" max="11" width="8.7109375" bestFit="1" customWidth="1"/>
    <col min="12" max="12" width="11.7109375" bestFit="1" customWidth="1"/>
    <col min="13" max="13" width="12.42578125" customWidth="1"/>
    <col min="14" max="15" width="11.7109375" bestFit="1" customWidth="1"/>
    <col min="16" max="16" width="16.85546875" bestFit="1" customWidth="1"/>
    <col min="17" max="17" width="14.28515625" customWidth="1"/>
    <col min="18" max="20" width="11.7109375" bestFit="1" customWidth="1"/>
    <col min="21" max="22" width="8.7109375" bestFit="1" customWidth="1"/>
    <col min="23" max="23" width="11.7109375" bestFit="1" customWidth="1"/>
    <col min="24" max="24" width="11.85546875" customWidth="1"/>
    <col min="25" max="28" width="8.7109375" bestFit="1" customWidth="1"/>
    <col min="29" max="29" width="6.7109375" bestFit="1" customWidth="1"/>
    <col min="30" max="30" width="12.140625" customWidth="1"/>
    <col min="31" max="31" width="16.85546875" bestFit="1" customWidth="1"/>
    <col min="32" max="32" width="12.5703125" customWidth="1"/>
    <col min="34" max="34" width="13.85546875" bestFit="1" customWidth="1"/>
    <col min="35" max="35" width="14" bestFit="1" customWidth="1"/>
    <col min="36" max="37" width="15" bestFit="1" customWidth="1"/>
    <col min="38" max="38" width="21.7109375" bestFit="1" customWidth="1"/>
  </cols>
  <sheetData>
    <row r="1" spans="2:38" ht="30.75">
      <c r="B1" s="116" t="s">
        <v>70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29"/>
      <c r="AH1" s="1"/>
      <c r="AI1" s="1"/>
      <c r="AJ1" s="1"/>
      <c r="AK1" s="1"/>
      <c r="AL1" s="1"/>
    </row>
    <row r="2" spans="2:38" ht="26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29"/>
      <c r="AH2" s="117" t="s">
        <v>48</v>
      </c>
      <c r="AI2" s="118"/>
      <c r="AJ2" s="118"/>
      <c r="AK2" s="118"/>
      <c r="AL2" s="119"/>
    </row>
    <row r="3" spans="2:38" ht="26.25">
      <c r="B3" s="120" t="s">
        <v>44</v>
      </c>
      <c r="C3" s="121"/>
      <c r="D3" s="123" t="s">
        <v>33</v>
      </c>
      <c r="E3" s="125" t="s">
        <v>0</v>
      </c>
      <c r="F3" s="125"/>
      <c r="G3" s="125"/>
      <c r="H3" s="126" t="s">
        <v>1</v>
      </c>
      <c r="I3" s="126"/>
      <c r="J3" s="126"/>
      <c r="K3" s="127" t="s">
        <v>2</v>
      </c>
      <c r="L3" s="127"/>
      <c r="M3" s="127"/>
      <c r="N3" s="127"/>
      <c r="O3" s="127"/>
      <c r="P3" s="124" t="s">
        <v>3</v>
      </c>
      <c r="Q3" s="124"/>
      <c r="R3" s="124"/>
      <c r="S3" s="124"/>
      <c r="T3" s="124"/>
      <c r="U3" s="124"/>
      <c r="V3" s="124"/>
      <c r="W3" s="124"/>
      <c r="X3" s="124"/>
      <c r="Y3" s="128" t="s">
        <v>4</v>
      </c>
      <c r="Z3" s="128"/>
      <c r="AA3" s="128"/>
      <c r="AB3" s="128"/>
      <c r="AC3" s="128"/>
      <c r="AD3" s="128"/>
      <c r="AE3" s="128"/>
      <c r="AF3" s="128"/>
      <c r="AH3" s="31" t="s">
        <v>0</v>
      </c>
      <c r="AI3" s="26" t="s">
        <v>5</v>
      </c>
      <c r="AJ3" s="26" t="s">
        <v>6</v>
      </c>
      <c r="AK3" s="26" t="s">
        <v>7</v>
      </c>
      <c r="AL3" s="26" t="s">
        <v>4</v>
      </c>
    </row>
    <row r="4" spans="2:38" ht="26.25">
      <c r="B4" s="120"/>
      <c r="C4" s="121"/>
      <c r="D4" s="123"/>
      <c r="E4" s="125"/>
      <c r="F4" s="125"/>
      <c r="G4" s="125"/>
      <c r="H4" s="126"/>
      <c r="I4" s="126"/>
      <c r="J4" s="126"/>
      <c r="K4" s="127"/>
      <c r="L4" s="127"/>
      <c r="M4" s="127"/>
      <c r="N4" s="127"/>
      <c r="O4" s="127"/>
      <c r="P4" s="104">
        <v>1</v>
      </c>
      <c r="Q4" s="104">
        <v>2</v>
      </c>
      <c r="R4" s="104">
        <v>3</v>
      </c>
      <c r="S4" s="104">
        <v>4</v>
      </c>
      <c r="T4" s="104">
        <v>5</v>
      </c>
      <c r="U4" s="104">
        <v>6</v>
      </c>
      <c r="V4" s="104">
        <v>7</v>
      </c>
      <c r="W4" s="104">
        <v>8</v>
      </c>
      <c r="X4" s="104">
        <v>9</v>
      </c>
      <c r="Y4" s="105">
        <v>1</v>
      </c>
      <c r="Z4" s="105">
        <v>2</v>
      </c>
      <c r="AA4" s="105">
        <v>3</v>
      </c>
      <c r="AB4" s="105">
        <v>4</v>
      </c>
      <c r="AC4" s="105">
        <v>4</v>
      </c>
      <c r="AD4" s="105">
        <v>6</v>
      </c>
      <c r="AE4" s="105">
        <v>7</v>
      </c>
      <c r="AF4" s="103">
        <v>8</v>
      </c>
      <c r="AH4" s="31"/>
      <c r="AI4" s="26"/>
      <c r="AJ4" s="26"/>
      <c r="AK4" s="26"/>
      <c r="AL4" s="26"/>
    </row>
    <row r="5" spans="2:38" ht="172.5">
      <c r="B5" s="122"/>
      <c r="C5" s="121"/>
      <c r="D5" s="123"/>
      <c r="E5" s="72" t="s">
        <v>34</v>
      </c>
      <c r="F5" s="72" t="s">
        <v>35</v>
      </c>
      <c r="G5" s="72" t="s">
        <v>8</v>
      </c>
      <c r="H5" s="22" t="s">
        <v>10</v>
      </c>
      <c r="I5" s="22" t="s">
        <v>9</v>
      </c>
      <c r="J5" s="22" t="s">
        <v>11</v>
      </c>
      <c r="K5" s="23" t="s">
        <v>12</v>
      </c>
      <c r="L5" s="23" t="s">
        <v>13</v>
      </c>
      <c r="M5" s="23" t="s">
        <v>60</v>
      </c>
      <c r="N5" s="23" t="s">
        <v>14</v>
      </c>
      <c r="O5" s="23" t="s">
        <v>55</v>
      </c>
      <c r="P5" s="24" t="s">
        <v>50</v>
      </c>
      <c r="Q5" s="24" t="s">
        <v>51</v>
      </c>
      <c r="R5" s="24" t="s">
        <v>15</v>
      </c>
      <c r="S5" s="24" t="s">
        <v>16</v>
      </c>
      <c r="T5" s="24" t="s">
        <v>17</v>
      </c>
      <c r="U5" s="24" t="s">
        <v>18</v>
      </c>
      <c r="V5" s="24" t="s">
        <v>19</v>
      </c>
      <c r="W5" s="24" t="s">
        <v>20</v>
      </c>
      <c r="X5" s="24" t="s">
        <v>21</v>
      </c>
      <c r="Y5" s="4" t="s">
        <v>22</v>
      </c>
      <c r="Z5" s="4" t="s">
        <v>23</v>
      </c>
      <c r="AA5" s="4" t="s">
        <v>24</v>
      </c>
      <c r="AB5" s="4" t="s">
        <v>59</v>
      </c>
      <c r="AC5" s="4" t="s">
        <v>58</v>
      </c>
      <c r="AD5" s="4" t="s">
        <v>57</v>
      </c>
      <c r="AE5" s="4" t="s">
        <v>25</v>
      </c>
      <c r="AF5" s="4" t="s">
        <v>49</v>
      </c>
      <c r="AH5" s="32"/>
      <c r="AI5" s="27"/>
      <c r="AJ5" s="27"/>
      <c r="AK5" s="27"/>
      <c r="AL5" s="27"/>
    </row>
    <row r="6" spans="2:38" ht="35.1" customHeight="1">
      <c r="B6" s="111" t="s">
        <v>26</v>
      </c>
      <c r="C6" s="73" t="s">
        <v>27</v>
      </c>
      <c r="D6" s="74">
        <v>1</v>
      </c>
      <c r="E6" s="67">
        <v>0</v>
      </c>
      <c r="F6" s="53">
        <v>1</v>
      </c>
      <c r="G6" s="54">
        <v>0</v>
      </c>
      <c r="H6" s="55">
        <v>0</v>
      </c>
      <c r="I6" s="55">
        <v>1</v>
      </c>
      <c r="J6" s="55">
        <v>0</v>
      </c>
      <c r="K6" s="56">
        <v>0</v>
      </c>
      <c r="L6" s="56">
        <v>0</v>
      </c>
      <c r="M6" s="56">
        <v>1</v>
      </c>
      <c r="N6" s="56">
        <v>0</v>
      </c>
      <c r="O6" s="56">
        <v>0</v>
      </c>
      <c r="P6" s="57">
        <v>0</v>
      </c>
      <c r="Q6" s="57">
        <v>0</v>
      </c>
      <c r="R6" s="57">
        <v>0</v>
      </c>
      <c r="S6" s="57">
        <v>1</v>
      </c>
      <c r="T6" s="57">
        <v>0</v>
      </c>
      <c r="U6" s="57">
        <v>0</v>
      </c>
      <c r="V6" s="57">
        <v>0</v>
      </c>
      <c r="W6" s="57">
        <v>0</v>
      </c>
      <c r="X6" s="57">
        <v>0</v>
      </c>
      <c r="Y6" s="58">
        <v>0</v>
      </c>
      <c r="Z6" s="58">
        <v>0</v>
      </c>
      <c r="AA6" s="58">
        <v>1</v>
      </c>
      <c r="AB6" s="58">
        <v>0</v>
      </c>
      <c r="AC6" s="58">
        <v>0</v>
      </c>
      <c r="AD6" s="58">
        <v>0</v>
      </c>
      <c r="AE6" s="58">
        <v>0</v>
      </c>
      <c r="AF6" s="59">
        <v>0</v>
      </c>
      <c r="AH6" s="28" t="b">
        <f>D6=SUM(E6:G6)</f>
        <v>1</v>
      </c>
      <c r="AI6" s="28" t="b">
        <f>D6=SUM(H6:J6)</f>
        <v>1</v>
      </c>
      <c r="AJ6" s="28" t="b">
        <f>D6=SUM(K6:O6)</f>
        <v>1</v>
      </c>
      <c r="AK6" s="28" t="b">
        <f>D6=SUM(P6:X6)</f>
        <v>1</v>
      </c>
      <c r="AL6" s="28" t="b">
        <f>D6=SUM(Y6:AE6)</f>
        <v>1</v>
      </c>
    </row>
    <row r="7" spans="2:38" ht="35.1" customHeight="1">
      <c r="B7" s="111"/>
      <c r="C7" s="75" t="s">
        <v>28</v>
      </c>
      <c r="D7" s="74">
        <v>4</v>
      </c>
      <c r="E7" s="61">
        <v>1</v>
      </c>
      <c r="F7" s="60">
        <v>3</v>
      </c>
      <c r="G7" s="61">
        <v>0</v>
      </c>
      <c r="H7" s="62">
        <v>0</v>
      </c>
      <c r="I7" s="62">
        <v>4</v>
      </c>
      <c r="J7" s="62">
        <v>0</v>
      </c>
      <c r="K7" s="63">
        <v>4</v>
      </c>
      <c r="L7" s="63">
        <v>0</v>
      </c>
      <c r="M7" s="63">
        <v>0</v>
      </c>
      <c r="N7" s="63">
        <v>0</v>
      </c>
      <c r="O7" s="63">
        <v>0</v>
      </c>
      <c r="P7" s="64">
        <v>0</v>
      </c>
      <c r="Q7" s="64">
        <v>0</v>
      </c>
      <c r="R7" s="64">
        <v>1</v>
      </c>
      <c r="S7" s="64">
        <v>2</v>
      </c>
      <c r="T7" s="64">
        <v>0</v>
      </c>
      <c r="U7" s="64">
        <v>0</v>
      </c>
      <c r="V7" s="64">
        <v>1</v>
      </c>
      <c r="W7" s="64">
        <v>0</v>
      </c>
      <c r="X7" s="64">
        <v>0</v>
      </c>
      <c r="Y7" s="65">
        <v>1</v>
      </c>
      <c r="Z7" s="65">
        <v>0</v>
      </c>
      <c r="AA7" s="65">
        <v>3</v>
      </c>
      <c r="AB7" s="65">
        <v>0</v>
      </c>
      <c r="AC7" s="65">
        <v>0</v>
      </c>
      <c r="AD7" s="65">
        <v>0</v>
      </c>
      <c r="AE7" s="65">
        <v>0</v>
      </c>
      <c r="AF7" s="66">
        <v>0</v>
      </c>
      <c r="AH7" s="28" t="b">
        <f>D7=SUM(E7:G7)</f>
        <v>1</v>
      </c>
      <c r="AI7" s="28" t="b">
        <f t="shared" ref="AI7:AI16" si="0">D7=SUM(H7:J7)</f>
        <v>1</v>
      </c>
      <c r="AJ7" s="28" t="b">
        <f t="shared" ref="AJ7:AJ14" si="1">D7=SUM(K7:O7)</f>
        <v>1</v>
      </c>
      <c r="AK7" s="28" t="b">
        <f t="shared" ref="AK7:AK16" si="2">D7=SUM(P7:X7)</f>
        <v>1</v>
      </c>
      <c r="AL7" s="28" t="b">
        <f t="shared" ref="AL7:AL12" si="3">D7=SUM(Y7:AE7)</f>
        <v>1</v>
      </c>
    </row>
    <row r="8" spans="2:38" ht="35.1" customHeight="1">
      <c r="B8" s="111"/>
      <c r="C8" s="76" t="s">
        <v>29</v>
      </c>
      <c r="D8" s="77">
        <v>9</v>
      </c>
      <c r="E8" s="78">
        <v>4</v>
      </c>
      <c r="F8" s="78">
        <v>2</v>
      </c>
      <c r="G8" s="78">
        <v>3</v>
      </c>
      <c r="H8" s="79">
        <v>1</v>
      </c>
      <c r="I8" s="79">
        <v>7</v>
      </c>
      <c r="J8" s="79">
        <v>1</v>
      </c>
      <c r="K8" s="80">
        <v>9</v>
      </c>
      <c r="L8" s="80">
        <v>0</v>
      </c>
      <c r="M8" s="80">
        <v>0</v>
      </c>
      <c r="N8" s="80">
        <v>0</v>
      </c>
      <c r="O8" s="80">
        <v>0</v>
      </c>
      <c r="P8" s="81">
        <v>0</v>
      </c>
      <c r="Q8" s="81">
        <v>0</v>
      </c>
      <c r="R8" s="81">
        <v>2</v>
      </c>
      <c r="S8" s="81">
        <v>2</v>
      </c>
      <c r="T8" s="81">
        <v>5</v>
      </c>
      <c r="U8" s="81">
        <v>0</v>
      </c>
      <c r="V8" s="81">
        <v>0</v>
      </c>
      <c r="W8" s="81">
        <v>0</v>
      </c>
      <c r="X8" s="81">
        <v>0</v>
      </c>
      <c r="Y8" s="82">
        <v>3</v>
      </c>
      <c r="Z8" s="82">
        <v>0</v>
      </c>
      <c r="AA8" s="82">
        <v>0</v>
      </c>
      <c r="AB8" s="82">
        <v>0</v>
      </c>
      <c r="AC8" s="82">
        <v>1</v>
      </c>
      <c r="AD8" s="82">
        <v>0</v>
      </c>
      <c r="AE8" s="82">
        <v>0</v>
      </c>
      <c r="AF8" s="82">
        <v>5</v>
      </c>
      <c r="AH8" s="28" t="b">
        <f t="shared" ref="AH8:AH16" si="4">D8=SUM(E8:G8)</f>
        <v>1</v>
      </c>
      <c r="AI8" s="28" t="b">
        <f t="shared" si="0"/>
        <v>1</v>
      </c>
      <c r="AJ8" s="28" t="b">
        <f t="shared" si="1"/>
        <v>1</v>
      </c>
      <c r="AK8" s="28" t="b">
        <f t="shared" si="2"/>
        <v>1</v>
      </c>
      <c r="AL8" s="28" t="b">
        <f>D8=SUM(Y8:AF8)</f>
        <v>1</v>
      </c>
    </row>
    <row r="9" spans="2:38" ht="35.1" customHeight="1">
      <c r="B9" s="111"/>
      <c r="C9" s="83" t="s">
        <v>30</v>
      </c>
      <c r="D9" s="84">
        <v>3</v>
      </c>
      <c r="E9" s="85">
        <v>2</v>
      </c>
      <c r="F9" s="85">
        <v>1</v>
      </c>
      <c r="G9" s="85">
        <v>0</v>
      </c>
      <c r="H9" s="86">
        <v>0</v>
      </c>
      <c r="I9" s="86">
        <v>3</v>
      </c>
      <c r="J9" s="86">
        <v>0</v>
      </c>
      <c r="K9" s="87">
        <v>1</v>
      </c>
      <c r="L9" s="87">
        <v>0</v>
      </c>
      <c r="M9" s="87">
        <v>2</v>
      </c>
      <c r="N9" s="87">
        <v>0</v>
      </c>
      <c r="O9" s="87">
        <v>0</v>
      </c>
      <c r="P9" s="88">
        <v>2</v>
      </c>
      <c r="Q9" s="88">
        <v>0</v>
      </c>
      <c r="R9" s="88">
        <v>1</v>
      </c>
      <c r="S9" s="88">
        <v>0</v>
      </c>
      <c r="T9" s="88">
        <v>0</v>
      </c>
      <c r="U9" s="88">
        <v>0</v>
      </c>
      <c r="V9" s="88">
        <v>0</v>
      </c>
      <c r="W9" s="88">
        <v>0</v>
      </c>
      <c r="X9" s="88">
        <v>0</v>
      </c>
      <c r="Y9" s="89">
        <v>0</v>
      </c>
      <c r="Z9" s="89">
        <v>0</v>
      </c>
      <c r="AA9" s="89">
        <v>1</v>
      </c>
      <c r="AB9" s="89">
        <v>0</v>
      </c>
      <c r="AC9" s="89">
        <v>0</v>
      </c>
      <c r="AD9" s="89">
        <v>0</v>
      </c>
      <c r="AE9" s="89">
        <v>2</v>
      </c>
      <c r="AF9" s="70">
        <v>0</v>
      </c>
      <c r="AH9" s="28" t="b">
        <f t="shared" si="4"/>
        <v>1</v>
      </c>
      <c r="AI9" s="28" t="b">
        <f t="shared" si="0"/>
        <v>1</v>
      </c>
      <c r="AJ9" s="28" t="b">
        <f t="shared" si="1"/>
        <v>1</v>
      </c>
      <c r="AK9" s="28" t="b">
        <f t="shared" si="2"/>
        <v>1</v>
      </c>
      <c r="AL9" s="28" t="b">
        <f t="shared" si="3"/>
        <v>1</v>
      </c>
    </row>
    <row r="10" spans="2:38" ht="60" customHeight="1">
      <c r="B10" s="112" t="s">
        <v>45</v>
      </c>
      <c r="C10" s="112"/>
      <c r="D10" s="68">
        <f t="shared" ref="D10:AF10" si="5">SUM(D6:D9)</f>
        <v>17</v>
      </c>
      <c r="E10" s="68">
        <f t="shared" si="5"/>
        <v>7</v>
      </c>
      <c r="F10" s="68">
        <f t="shared" si="5"/>
        <v>7</v>
      </c>
      <c r="G10" s="68">
        <f t="shared" si="5"/>
        <v>3</v>
      </c>
      <c r="H10" s="68">
        <f t="shared" si="5"/>
        <v>1</v>
      </c>
      <c r="I10" s="68">
        <f t="shared" si="5"/>
        <v>15</v>
      </c>
      <c r="J10" s="68">
        <f t="shared" si="5"/>
        <v>1</v>
      </c>
      <c r="K10" s="68">
        <v>4</v>
      </c>
      <c r="L10" s="68">
        <f t="shared" si="5"/>
        <v>0</v>
      </c>
      <c r="M10" s="68">
        <f t="shared" si="5"/>
        <v>3</v>
      </c>
      <c r="N10" s="68">
        <f t="shared" si="5"/>
        <v>0</v>
      </c>
      <c r="O10" s="68">
        <f t="shared" si="5"/>
        <v>0</v>
      </c>
      <c r="P10" s="68">
        <f t="shared" si="5"/>
        <v>2</v>
      </c>
      <c r="Q10" s="68">
        <f t="shared" si="5"/>
        <v>0</v>
      </c>
      <c r="R10" s="68">
        <f t="shared" si="5"/>
        <v>4</v>
      </c>
      <c r="S10" s="68">
        <f t="shared" si="5"/>
        <v>5</v>
      </c>
      <c r="T10" s="68">
        <f t="shared" si="5"/>
        <v>5</v>
      </c>
      <c r="U10" s="68">
        <f t="shared" si="5"/>
        <v>0</v>
      </c>
      <c r="V10" s="68">
        <f t="shared" si="5"/>
        <v>1</v>
      </c>
      <c r="W10" s="68">
        <f t="shared" si="5"/>
        <v>0</v>
      </c>
      <c r="X10" s="68">
        <f t="shared" si="5"/>
        <v>0</v>
      </c>
      <c r="Y10" s="68">
        <f t="shared" si="5"/>
        <v>4</v>
      </c>
      <c r="Z10" s="68">
        <f t="shared" si="5"/>
        <v>0</v>
      </c>
      <c r="AA10" s="68">
        <f t="shared" si="5"/>
        <v>5</v>
      </c>
      <c r="AB10" s="68">
        <f t="shared" si="5"/>
        <v>0</v>
      </c>
      <c r="AC10" s="68">
        <f t="shared" si="5"/>
        <v>1</v>
      </c>
      <c r="AD10" s="68">
        <f t="shared" si="5"/>
        <v>0</v>
      </c>
      <c r="AE10" s="68">
        <f t="shared" si="5"/>
        <v>2</v>
      </c>
      <c r="AF10" s="69">
        <f t="shared" si="5"/>
        <v>5</v>
      </c>
      <c r="AH10" s="28" t="b">
        <f t="shared" si="4"/>
        <v>1</v>
      </c>
      <c r="AI10" s="28" t="b">
        <f t="shared" si="0"/>
        <v>1</v>
      </c>
      <c r="AJ10" s="28" t="b">
        <f>D10=SUM(P10:X10)</f>
        <v>1</v>
      </c>
      <c r="AK10" s="28" t="b">
        <f t="shared" si="2"/>
        <v>1</v>
      </c>
      <c r="AL10" s="28" t="b">
        <f>D10=SUM(Y10:AF10)</f>
        <v>1</v>
      </c>
    </row>
    <row r="11" spans="2:38" ht="35.1" customHeight="1">
      <c r="B11" s="111" t="s">
        <v>31</v>
      </c>
      <c r="C11" s="73" t="s">
        <v>27</v>
      </c>
      <c r="D11" s="74">
        <v>16</v>
      </c>
      <c r="E11" s="67">
        <v>10</v>
      </c>
      <c r="F11" s="67">
        <v>6</v>
      </c>
      <c r="G11" s="67">
        <v>0</v>
      </c>
      <c r="H11" s="55">
        <v>0</v>
      </c>
      <c r="I11" s="55">
        <v>16</v>
      </c>
      <c r="J11" s="55">
        <v>0</v>
      </c>
      <c r="K11" s="56">
        <v>12</v>
      </c>
      <c r="L11" s="56">
        <v>0</v>
      </c>
      <c r="M11" s="56">
        <v>2</v>
      </c>
      <c r="N11" s="56">
        <v>2</v>
      </c>
      <c r="O11" s="56">
        <v>0</v>
      </c>
      <c r="P11" s="57">
        <v>9</v>
      </c>
      <c r="Q11" s="57">
        <v>0</v>
      </c>
      <c r="R11" s="57">
        <v>0</v>
      </c>
      <c r="S11" s="57">
        <v>2</v>
      </c>
      <c r="T11" s="57">
        <v>2</v>
      </c>
      <c r="U11" s="57">
        <v>3</v>
      </c>
      <c r="V11" s="57">
        <v>0</v>
      </c>
      <c r="W11" s="57">
        <v>0</v>
      </c>
      <c r="X11" s="57">
        <v>0</v>
      </c>
      <c r="Y11" s="58">
        <v>6</v>
      </c>
      <c r="Z11" s="58">
        <v>3</v>
      </c>
      <c r="AA11" s="58">
        <v>6</v>
      </c>
      <c r="AB11" s="58">
        <v>1</v>
      </c>
      <c r="AC11" s="58">
        <v>0</v>
      </c>
      <c r="AD11" s="58">
        <v>0</v>
      </c>
      <c r="AE11" s="58">
        <v>0</v>
      </c>
      <c r="AF11" s="66">
        <v>0</v>
      </c>
      <c r="AH11" s="28" t="b">
        <f t="shared" si="4"/>
        <v>1</v>
      </c>
      <c r="AI11" s="28" t="b">
        <f>D11=SUM(H11:J11)</f>
        <v>1</v>
      </c>
      <c r="AJ11" s="28" t="b">
        <f t="shared" si="1"/>
        <v>1</v>
      </c>
      <c r="AK11" s="28" t="b">
        <f t="shared" si="2"/>
        <v>1</v>
      </c>
      <c r="AL11" s="28" t="b">
        <f>D11=SUM(Y11:AF11)</f>
        <v>1</v>
      </c>
    </row>
    <row r="12" spans="2:38" ht="35.1" customHeight="1">
      <c r="B12" s="111"/>
      <c r="C12" s="75" t="s">
        <v>28</v>
      </c>
      <c r="D12" s="74">
        <v>6</v>
      </c>
      <c r="E12" s="61">
        <v>3</v>
      </c>
      <c r="F12" s="61">
        <v>3</v>
      </c>
      <c r="G12" s="61">
        <v>0</v>
      </c>
      <c r="H12" s="62">
        <v>0</v>
      </c>
      <c r="I12" s="62">
        <v>6</v>
      </c>
      <c r="J12" s="62">
        <v>0</v>
      </c>
      <c r="K12" s="63">
        <v>5</v>
      </c>
      <c r="L12" s="63">
        <v>0</v>
      </c>
      <c r="M12" s="63">
        <v>0</v>
      </c>
      <c r="N12" s="63">
        <v>1</v>
      </c>
      <c r="O12" s="63">
        <v>0</v>
      </c>
      <c r="P12" s="64">
        <v>1</v>
      </c>
      <c r="Q12" s="64">
        <v>0</v>
      </c>
      <c r="R12" s="64">
        <v>0</v>
      </c>
      <c r="S12" s="64">
        <v>5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5">
        <v>0</v>
      </c>
      <c r="Z12" s="65">
        <v>3</v>
      </c>
      <c r="AA12" s="65">
        <v>3</v>
      </c>
      <c r="AB12" s="65">
        <v>0</v>
      </c>
      <c r="AC12" s="65">
        <v>0</v>
      </c>
      <c r="AD12" s="65">
        <v>0</v>
      </c>
      <c r="AE12" s="65">
        <v>0</v>
      </c>
      <c r="AF12" s="66">
        <v>0</v>
      </c>
      <c r="AH12" s="28" t="b">
        <f t="shared" si="4"/>
        <v>1</v>
      </c>
      <c r="AI12" s="28" t="b">
        <f t="shared" si="0"/>
        <v>1</v>
      </c>
      <c r="AJ12" s="28" t="b">
        <f t="shared" si="1"/>
        <v>1</v>
      </c>
      <c r="AK12" s="28" t="b">
        <f t="shared" si="2"/>
        <v>1</v>
      </c>
      <c r="AL12" s="28" t="b">
        <f t="shared" si="3"/>
        <v>1</v>
      </c>
    </row>
    <row r="13" spans="2:38" ht="35.1" customHeight="1">
      <c r="B13" s="111"/>
      <c r="C13" s="76" t="s">
        <v>29</v>
      </c>
      <c r="D13" s="77">
        <v>43</v>
      </c>
      <c r="E13" s="78">
        <v>21</v>
      </c>
      <c r="F13" s="78">
        <v>22</v>
      </c>
      <c r="G13" s="78">
        <v>0</v>
      </c>
      <c r="H13" s="79">
        <v>25</v>
      </c>
      <c r="I13" s="79">
        <v>12</v>
      </c>
      <c r="J13" s="79">
        <v>6</v>
      </c>
      <c r="K13" s="80">
        <v>43</v>
      </c>
      <c r="L13" s="80">
        <v>0</v>
      </c>
      <c r="M13" s="80">
        <v>0</v>
      </c>
      <c r="N13" s="80">
        <v>0</v>
      </c>
      <c r="O13" s="80">
        <v>0</v>
      </c>
      <c r="P13" s="81">
        <v>0</v>
      </c>
      <c r="Q13" s="81">
        <v>0</v>
      </c>
      <c r="R13" s="81">
        <v>2</v>
      </c>
      <c r="S13" s="81">
        <v>19</v>
      </c>
      <c r="T13" s="81">
        <v>18</v>
      </c>
      <c r="U13" s="81">
        <v>4</v>
      </c>
      <c r="V13" s="81">
        <v>0</v>
      </c>
      <c r="W13" s="81">
        <v>0</v>
      </c>
      <c r="X13" s="81">
        <v>0</v>
      </c>
      <c r="Y13" s="82">
        <v>20</v>
      </c>
      <c r="Z13" s="82">
        <v>2</v>
      </c>
      <c r="AA13" s="82">
        <v>9</v>
      </c>
      <c r="AB13" s="82">
        <v>5</v>
      </c>
      <c r="AC13" s="82">
        <v>7</v>
      </c>
      <c r="AD13" s="82">
        <v>0</v>
      </c>
      <c r="AE13" s="82">
        <v>0</v>
      </c>
      <c r="AF13" s="82">
        <v>0</v>
      </c>
      <c r="AH13" s="28" t="b">
        <f t="shared" si="4"/>
        <v>1</v>
      </c>
      <c r="AI13" s="28" t="b">
        <f t="shared" si="0"/>
        <v>1</v>
      </c>
      <c r="AJ13" s="28" t="b">
        <f t="shared" si="1"/>
        <v>1</v>
      </c>
      <c r="AK13" s="28" t="b">
        <f>D13=SUM(P13:X13)</f>
        <v>1</v>
      </c>
      <c r="AL13" s="28" t="b">
        <f>D13=SUM(Y13:AF13)</f>
        <v>1</v>
      </c>
    </row>
    <row r="14" spans="2:38" ht="35.1" customHeight="1">
      <c r="B14" s="111"/>
      <c r="C14" s="83" t="s">
        <v>30</v>
      </c>
      <c r="D14" s="77">
        <v>12</v>
      </c>
      <c r="E14" s="90">
        <v>3</v>
      </c>
      <c r="F14" s="90">
        <v>9</v>
      </c>
      <c r="G14" s="90">
        <v>0</v>
      </c>
      <c r="H14" s="91">
        <v>1</v>
      </c>
      <c r="I14" s="91">
        <v>11</v>
      </c>
      <c r="J14" s="91">
        <v>0</v>
      </c>
      <c r="K14" s="92">
        <v>6</v>
      </c>
      <c r="L14" s="92">
        <v>0</v>
      </c>
      <c r="M14" s="92">
        <v>6</v>
      </c>
      <c r="N14" s="92">
        <v>0</v>
      </c>
      <c r="O14" s="92">
        <v>0</v>
      </c>
      <c r="P14" s="93">
        <v>7</v>
      </c>
      <c r="Q14" s="93">
        <v>0</v>
      </c>
      <c r="R14" s="93">
        <v>3</v>
      </c>
      <c r="S14" s="93">
        <v>1</v>
      </c>
      <c r="T14" s="93">
        <v>1</v>
      </c>
      <c r="U14" s="93">
        <v>0</v>
      </c>
      <c r="V14" s="93">
        <v>0</v>
      </c>
      <c r="W14" s="93">
        <v>0</v>
      </c>
      <c r="X14" s="93">
        <v>0</v>
      </c>
      <c r="Y14" s="94">
        <v>0</v>
      </c>
      <c r="Z14" s="94">
        <v>5</v>
      </c>
      <c r="AA14" s="94">
        <v>5</v>
      </c>
      <c r="AB14" s="94">
        <v>0</v>
      </c>
      <c r="AC14" s="94">
        <v>0</v>
      </c>
      <c r="AD14" s="94">
        <v>1</v>
      </c>
      <c r="AE14" s="94">
        <v>1</v>
      </c>
      <c r="AF14" s="66">
        <v>0</v>
      </c>
      <c r="AH14" s="28" t="b">
        <f t="shared" si="4"/>
        <v>1</v>
      </c>
      <c r="AI14" s="28" t="b">
        <f t="shared" si="0"/>
        <v>1</v>
      </c>
      <c r="AJ14" s="28" t="b">
        <f t="shared" si="1"/>
        <v>1</v>
      </c>
      <c r="AK14" s="28" t="b">
        <f t="shared" si="2"/>
        <v>1</v>
      </c>
      <c r="AL14" s="28" t="b">
        <f>D14=SUM(Y14:AF14)</f>
        <v>1</v>
      </c>
    </row>
    <row r="15" spans="2:38" ht="59.25" customHeight="1">
      <c r="B15" s="113" t="s">
        <v>46</v>
      </c>
      <c r="C15" s="113"/>
      <c r="D15" s="95">
        <f t="shared" ref="D15:AF15" si="6">SUM(D11:D14)</f>
        <v>77</v>
      </c>
      <c r="E15" s="95">
        <f t="shared" si="6"/>
        <v>37</v>
      </c>
      <c r="F15" s="95">
        <f t="shared" si="6"/>
        <v>40</v>
      </c>
      <c r="G15" s="95">
        <f t="shared" si="6"/>
        <v>0</v>
      </c>
      <c r="H15" s="95">
        <f t="shared" si="6"/>
        <v>26</v>
      </c>
      <c r="I15" s="95">
        <f t="shared" si="6"/>
        <v>45</v>
      </c>
      <c r="J15" s="95">
        <f t="shared" si="6"/>
        <v>6</v>
      </c>
      <c r="K15" s="95">
        <f>SUM(K11:K14)</f>
        <v>66</v>
      </c>
      <c r="L15" s="96">
        <f t="shared" si="6"/>
        <v>0</v>
      </c>
      <c r="M15" s="96">
        <f t="shared" si="6"/>
        <v>8</v>
      </c>
      <c r="N15" s="96">
        <f t="shared" si="6"/>
        <v>3</v>
      </c>
      <c r="O15" s="96">
        <f t="shared" si="6"/>
        <v>0</v>
      </c>
      <c r="P15" s="97">
        <f t="shared" si="6"/>
        <v>17</v>
      </c>
      <c r="Q15" s="97">
        <f t="shared" si="6"/>
        <v>0</v>
      </c>
      <c r="R15" s="95">
        <f t="shared" si="6"/>
        <v>5</v>
      </c>
      <c r="S15" s="95">
        <f t="shared" si="6"/>
        <v>27</v>
      </c>
      <c r="T15" s="95">
        <f t="shared" si="6"/>
        <v>21</v>
      </c>
      <c r="U15" s="95">
        <f t="shared" si="6"/>
        <v>7</v>
      </c>
      <c r="V15" s="97">
        <f t="shared" si="6"/>
        <v>0</v>
      </c>
      <c r="W15" s="95">
        <f t="shared" si="6"/>
        <v>0</v>
      </c>
      <c r="X15" s="95">
        <f t="shared" si="6"/>
        <v>0</v>
      </c>
      <c r="Y15" s="95">
        <f t="shared" si="6"/>
        <v>26</v>
      </c>
      <c r="Z15" s="95">
        <f t="shared" si="6"/>
        <v>13</v>
      </c>
      <c r="AA15" s="95">
        <f t="shared" si="6"/>
        <v>23</v>
      </c>
      <c r="AB15" s="95">
        <f t="shared" si="6"/>
        <v>6</v>
      </c>
      <c r="AC15" s="95">
        <f t="shared" si="6"/>
        <v>7</v>
      </c>
      <c r="AD15" s="98">
        <f t="shared" si="6"/>
        <v>1</v>
      </c>
      <c r="AE15" s="95">
        <f t="shared" si="6"/>
        <v>1</v>
      </c>
      <c r="AF15" s="95">
        <f t="shared" si="6"/>
        <v>0</v>
      </c>
      <c r="AH15" s="28" t="b">
        <f t="shared" si="4"/>
        <v>1</v>
      </c>
      <c r="AI15" s="28" t="b">
        <f t="shared" si="0"/>
        <v>1</v>
      </c>
      <c r="AJ15" s="28" t="b">
        <f>D15=SUM(K15:O15)</f>
        <v>1</v>
      </c>
      <c r="AK15" s="28" t="b">
        <f t="shared" si="2"/>
        <v>1</v>
      </c>
      <c r="AL15" s="28" t="b">
        <f>D15=SUM(Y15:AF15)</f>
        <v>1</v>
      </c>
    </row>
    <row r="16" spans="2:38" s="52" customFormat="1" ht="59.25" customHeight="1">
      <c r="B16" s="115" t="s">
        <v>54</v>
      </c>
      <c r="C16" s="115"/>
      <c r="D16" s="99">
        <f>D10+D15</f>
        <v>94</v>
      </c>
      <c r="E16" s="99">
        <f t="shared" ref="E16:AF16" si="7">E10+E15</f>
        <v>44</v>
      </c>
      <c r="F16" s="99">
        <f t="shared" si="7"/>
        <v>47</v>
      </c>
      <c r="G16" s="99">
        <f t="shared" si="7"/>
        <v>3</v>
      </c>
      <c r="H16" s="99">
        <f t="shared" si="7"/>
        <v>27</v>
      </c>
      <c r="I16" s="99">
        <f t="shared" si="7"/>
        <v>60</v>
      </c>
      <c r="J16" s="99">
        <f t="shared" si="7"/>
        <v>7</v>
      </c>
      <c r="K16" s="99">
        <f t="shared" si="7"/>
        <v>70</v>
      </c>
      <c r="L16" s="99">
        <f t="shared" si="7"/>
        <v>0</v>
      </c>
      <c r="M16" s="99">
        <f t="shared" si="7"/>
        <v>11</v>
      </c>
      <c r="N16" s="99">
        <f t="shared" si="7"/>
        <v>3</v>
      </c>
      <c r="O16" s="99">
        <f t="shared" si="7"/>
        <v>0</v>
      </c>
      <c r="P16" s="99">
        <f t="shared" si="7"/>
        <v>19</v>
      </c>
      <c r="Q16" s="99">
        <f t="shared" si="7"/>
        <v>0</v>
      </c>
      <c r="R16" s="99">
        <f t="shared" si="7"/>
        <v>9</v>
      </c>
      <c r="S16" s="99">
        <f t="shared" si="7"/>
        <v>32</v>
      </c>
      <c r="T16" s="99">
        <f t="shared" si="7"/>
        <v>26</v>
      </c>
      <c r="U16" s="99">
        <f t="shared" si="7"/>
        <v>7</v>
      </c>
      <c r="V16" s="99">
        <f t="shared" si="7"/>
        <v>1</v>
      </c>
      <c r="W16" s="99">
        <f t="shared" si="7"/>
        <v>0</v>
      </c>
      <c r="X16" s="99">
        <f t="shared" si="7"/>
        <v>0</v>
      </c>
      <c r="Y16" s="99">
        <f t="shared" si="7"/>
        <v>30</v>
      </c>
      <c r="Z16" s="99">
        <f t="shared" si="7"/>
        <v>13</v>
      </c>
      <c r="AA16" s="99">
        <f t="shared" si="7"/>
        <v>28</v>
      </c>
      <c r="AB16" s="99">
        <f t="shared" si="7"/>
        <v>6</v>
      </c>
      <c r="AC16" s="99">
        <f t="shared" si="7"/>
        <v>8</v>
      </c>
      <c r="AD16" s="99">
        <f t="shared" si="7"/>
        <v>1</v>
      </c>
      <c r="AE16" s="99">
        <f t="shared" si="7"/>
        <v>3</v>
      </c>
      <c r="AF16" s="99">
        <f t="shared" si="7"/>
        <v>5</v>
      </c>
      <c r="AH16" s="28" t="b">
        <f t="shared" si="4"/>
        <v>1</v>
      </c>
      <c r="AI16" s="28" t="b">
        <f t="shared" si="0"/>
        <v>1</v>
      </c>
      <c r="AJ16" s="28" t="b">
        <f>D16=SUM(K16:O16)</f>
        <v>0</v>
      </c>
      <c r="AK16" s="28" t="b">
        <f t="shared" si="2"/>
        <v>1</v>
      </c>
      <c r="AL16" s="28" t="b">
        <f>D16=SUM(Y16:AF16)</f>
        <v>1</v>
      </c>
    </row>
    <row r="17" spans="2:38"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1"/>
      <c r="AH17" s="1"/>
      <c r="AI17" s="1"/>
      <c r="AJ17" s="1"/>
      <c r="AK17" s="1"/>
      <c r="AL17" s="1"/>
    </row>
    <row r="18" spans="2:38" ht="58.5" customHeight="1">
      <c r="B18" s="114" t="s">
        <v>43</v>
      </c>
      <c r="C18" s="114"/>
      <c r="D18" s="133" t="s">
        <v>36</v>
      </c>
      <c r="E18" s="133"/>
      <c r="F18" s="133"/>
      <c r="G18" s="133"/>
      <c r="H18" s="133"/>
      <c r="I18" s="134" t="s">
        <v>37</v>
      </c>
      <c r="J18" s="134"/>
      <c r="K18" s="134"/>
      <c r="L18" s="134"/>
      <c r="M18" s="134"/>
      <c r="N18" s="129" t="s">
        <v>42</v>
      </c>
      <c r="O18" s="129"/>
      <c r="P18" s="129"/>
      <c r="Q18" s="129"/>
      <c r="R18" s="129"/>
      <c r="S18" s="130" t="s">
        <v>38</v>
      </c>
      <c r="T18" s="130"/>
      <c r="U18" s="130"/>
      <c r="V18" s="130"/>
      <c r="W18" s="130"/>
      <c r="X18" s="131" t="s">
        <v>41</v>
      </c>
      <c r="Y18" s="131"/>
      <c r="Z18" s="131"/>
      <c r="AA18" s="131"/>
      <c r="AB18" s="131"/>
      <c r="AC18" s="132" t="s">
        <v>39</v>
      </c>
      <c r="AD18" s="132"/>
      <c r="AE18" s="132"/>
      <c r="AF18" s="102"/>
      <c r="AH18" s="25"/>
      <c r="AI18" s="25"/>
      <c r="AJ18" s="25"/>
      <c r="AK18" s="25"/>
      <c r="AL18" s="25"/>
    </row>
    <row r="19" spans="2:38" ht="113.25" customHeight="1">
      <c r="B19" s="20" t="s">
        <v>29</v>
      </c>
      <c r="C19" s="21" t="s">
        <v>30</v>
      </c>
      <c r="D19" s="34" t="s">
        <v>27</v>
      </c>
      <c r="E19" s="5" t="s">
        <v>28</v>
      </c>
      <c r="F19" s="6" t="s">
        <v>29</v>
      </c>
      <c r="G19" s="7" t="s">
        <v>30</v>
      </c>
      <c r="H19" s="35" t="s">
        <v>32</v>
      </c>
      <c r="I19" s="36" t="s">
        <v>27</v>
      </c>
      <c r="J19" s="8" t="s">
        <v>28</v>
      </c>
      <c r="K19" s="9" t="s">
        <v>29</v>
      </c>
      <c r="L19" s="10" t="s">
        <v>30</v>
      </c>
      <c r="M19" s="37" t="s">
        <v>32</v>
      </c>
      <c r="N19" s="38" t="s">
        <v>27</v>
      </c>
      <c r="O19" s="11" t="s">
        <v>28</v>
      </c>
      <c r="P19" s="12" t="s">
        <v>29</v>
      </c>
      <c r="Q19" s="13" t="s">
        <v>30</v>
      </c>
      <c r="R19" s="39" t="s">
        <v>32</v>
      </c>
      <c r="S19" s="40" t="s">
        <v>27</v>
      </c>
      <c r="T19" s="14" t="s">
        <v>28</v>
      </c>
      <c r="U19" s="15" t="s">
        <v>29</v>
      </c>
      <c r="V19" s="16" t="s">
        <v>30</v>
      </c>
      <c r="W19" s="41" t="s">
        <v>32</v>
      </c>
      <c r="X19" s="42" t="s">
        <v>27</v>
      </c>
      <c r="Y19" s="17" t="s">
        <v>28</v>
      </c>
      <c r="Z19" s="18" t="s">
        <v>29</v>
      </c>
      <c r="AA19" s="19" t="s">
        <v>30</v>
      </c>
      <c r="AB19" s="43" t="s">
        <v>32</v>
      </c>
      <c r="AC19" s="44" t="s">
        <v>47</v>
      </c>
      <c r="AD19" s="44" t="s">
        <v>56</v>
      </c>
      <c r="AE19" s="44" t="s">
        <v>40</v>
      </c>
      <c r="AF19" s="102"/>
      <c r="AH19" s="2"/>
      <c r="AI19" s="2"/>
      <c r="AJ19" s="2"/>
      <c r="AK19" s="2"/>
      <c r="AL19" s="2"/>
    </row>
    <row r="20" spans="2:38" ht="53.25" customHeight="1">
      <c r="B20" s="45">
        <v>0</v>
      </c>
      <c r="C20" s="45">
        <v>0</v>
      </c>
      <c r="D20" s="45">
        <v>0</v>
      </c>
      <c r="E20" s="45">
        <v>0</v>
      </c>
      <c r="F20" s="140">
        <v>75</v>
      </c>
      <c r="G20" s="46">
        <v>23</v>
      </c>
      <c r="H20" s="45">
        <f>SUM(D20:G20)</f>
        <v>98</v>
      </c>
      <c r="I20" s="47">
        <v>0</v>
      </c>
      <c r="J20" s="47">
        <v>0</v>
      </c>
      <c r="K20" s="48">
        <v>1</v>
      </c>
      <c r="L20" s="47">
        <v>0</v>
      </c>
      <c r="M20" s="47">
        <v>1</v>
      </c>
      <c r="N20" s="49">
        <v>0</v>
      </c>
      <c r="O20" s="49">
        <v>0</v>
      </c>
      <c r="P20" s="49">
        <v>0</v>
      </c>
      <c r="Q20" s="49">
        <v>0</v>
      </c>
      <c r="R20" s="49">
        <f>SUM(N20:Q20)</f>
        <v>0</v>
      </c>
      <c r="S20" s="50">
        <v>0</v>
      </c>
      <c r="T20" s="50">
        <v>0</v>
      </c>
      <c r="U20" s="50">
        <v>0</v>
      </c>
      <c r="V20" s="50">
        <v>45</v>
      </c>
      <c r="W20" s="50">
        <f>SUM(S20:V20)</f>
        <v>45</v>
      </c>
      <c r="X20" s="51">
        <v>0</v>
      </c>
      <c r="Y20" s="51">
        <v>0</v>
      </c>
      <c r="Z20" s="51">
        <v>0</v>
      </c>
      <c r="AA20" s="51">
        <v>1</v>
      </c>
      <c r="AB20" s="51">
        <f>SUM(X20:AA20)</f>
        <v>1</v>
      </c>
      <c r="AC20" s="46">
        <v>0</v>
      </c>
      <c r="AD20" s="46">
        <v>0</v>
      </c>
      <c r="AE20" s="45">
        <v>2</v>
      </c>
      <c r="AF20" s="102"/>
      <c r="AH20" s="3"/>
      <c r="AI20" s="3"/>
      <c r="AJ20" s="3"/>
      <c r="AK20" s="3"/>
      <c r="AL20" s="3"/>
    </row>
    <row r="24" spans="2:38">
      <c r="L24" s="110"/>
      <c r="AI24" t="s">
        <v>53</v>
      </c>
    </row>
    <row r="25" spans="2:38">
      <c r="D25" t="s">
        <v>52</v>
      </c>
    </row>
  </sheetData>
  <mergeCells count="21">
    <mergeCell ref="AC18:AE18"/>
    <mergeCell ref="B6:B9"/>
    <mergeCell ref="B10:C10"/>
    <mergeCell ref="B11:B14"/>
    <mergeCell ref="B15:C15"/>
    <mergeCell ref="B16:C16"/>
    <mergeCell ref="B18:C18"/>
    <mergeCell ref="D18:H18"/>
    <mergeCell ref="I18:M18"/>
    <mergeCell ref="N18:R18"/>
    <mergeCell ref="S18:W18"/>
    <mergeCell ref="X18:AB18"/>
    <mergeCell ref="B1:AE1"/>
    <mergeCell ref="AH2:AL2"/>
    <mergeCell ref="B3:C5"/>
    <mergeCell ref="D3:D5"/>
    <mergeCell ref="E3:G4"/>
    <mergeCell ref="H3:J4"/>
    <mergeCell ref="K3:O4"/>
    <mergeCell ref="P3:X3"/>
    <mergeCell ref="Y3:AF3"/>
  </mergeCells>
  <conditionalFormatting sqref="AH6:AL16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opLeftCell="A19" zoomScale="85" zoomScaleNormal="85" workbookViewId="0">
      <selection activeCell="AF101" sqref="AF101"/>
    </sheetView>
  </sheetViews>
  <sheetFormatPr defaultRowHeight="15"/>
  <cols>
    <col min="1" max="1" width="38.85546875" bestFit="1" customWidth="1"/>
    <col min="2" max="2" width="15.7109375" customWidth="1"/>
    <col min="3" max="3" width="56.42578125" bestFit="1" customWidth="1"/>
    <col min="4" max="4" width="19.85546875" bestFit="1" customWidth="1"/>
    <col min="5" max="5" width="19.85546875" customWidth="1"/>
    <col min="6" max="6" width="34.140625" customWidth="1"/>
    <col min="7" max="7" width="14.42578125" bestFit="1" customWidth="1"/>
    <col min="10" max="10" width="38.85546875" bestFit="1" customWidth="1"/>
    <col min="11" max="11" width="15.7109375" bestFit="1" customWidth="1"/>
  </cols>
  <sheetData>
    <row r="1" spans="1:15" ht="26.25">
      <c r="A1" s="120" t="s">
        <v>44</v>
      </c>
      <c r="B1" s="121"/>
      <c r="C1" s="135" t="s">
        <v>63</v>
      </c>
      <c r="D1" s="135" t="s">
        <v>62</v>
      </c>
      <c r="E1" s="106"/>
      <c r="F1" s="135" t="s">
        <v>64</v>
      </c>
    </row>
    <row r="2" spans="1:15" ht="26.25">
      <c r="A2" s="120"/>
      <c r="B2" s="121"/>
      <c r="C2" s="135"/>
      <c r="D2" s="135"/>
      <c r="E2" s="106"/>
      <c r="F2" s="135"/>
    </row>
    <row r="3" spans="1:15" ht="44.25" customHeight="1">
      <c r="A3" s="122"/>
      <c r="B3" s="121"/>
      <c r="C3" s="135"/>
      <c r="D3" s="135"/>
      <c r="E3" s="106"/>
      <c r="F3" s="135"/>
    </row>
    <row r="4" spans="1:15" ht="28.5">
      <c r="A4" s="111" t="s">
        <v>26</v>
      </c>
      <c r="B4" s="136" t="s">
        <v>67</v>
      </c>
      <c r="C4" s="138">
        <v>8</v>
      </c>
      <c r="D4" s="138">
        <v>9</v>
      </c>
      <c r="E4" s="74"/>
      <c r="F4" s="74">
        <v>3</v>
      </c>
    </row>
    <row r="5" spans="1:15" ht="28.5">
      <c r="A5" s="111"/>
      <c r="B5" s="137"/>
      <c r="C5" s="139"/>
      <c r="D5" s="139"/>
      <c r="E5" s="74"/>
      <c r="F5" s="74">
        <v>2</v>
      </c>
    </row>
    <row r="6" spans="1:15" ht="28.5">
      <c r="A6" s="111"/>
      <c r="B6" s="76" t="s">
        <v>68</v>
      </c>
      <c r="C6" s="77">
        <v>8</v>
      </c>
      <c r="D6" s="77">
        <v>5</v>
      </c>
      <c r="E6" s="77"/>
      <c r="F6" s="74">
        <v>3</v>
      </c>
    </row>
    <row r="7" spans="1:15" ht="28.5">
      <c r="A7" s="111"/>
      <c r="B7" s="83" t="s">
        <v>69</v>
      </c>
      <c r="C7" s="84">
        <v>4</v>
      </c>
      <c r="D7" s="84">
        <v>5</v>
      </c>
      <c r="E7" s="84"/>
      <c r="F7" s="74">
        <v>1</v>
      </c>
    </row>
    <row r="8" spans="1:15" ht="28.5">
      <c r="A8" s="111" t="s">
        <v>31</v>
      </c>
      <c r="B8" s="136" t="s">
        <v>67</v>
      </c>
      <c r="C8" s="138">
        <v>24</v>
      </c>
      <c r="D8" s="74">
        <v>14</v>
      </c>
      <c r="E8" s="74"/>
      <c r="F8" s="74">
        <v>2</v>
      </c>
    </row>
    <row r="9" spans="1:15" ht="28.5">
      <c r="A9" s="111"/>
      <c r="B9" s="137"/>
      <c r="C9" s="139"/>
      <c r="D9" s="74"/>
      <c r="E9" s="74"/>
      <c r="F9" s="74">
        <v>11</v>
      </c>
    </row>
    <row r="10" spans="1:15" ht="28.5">
      <c r="A10" s="111"/>
      <c r="B10" s="76" t="s">
        <v>68</v>
      </c>
      <c r="C10" s="77">
        <v>46</v>
      </c>
      <c r="D10" s="77">
        <v>41</v>
      </c>
      <c r="E10" s="77"/>
      <c r="F10" s="74">
        <v>5</v>
      </c>
    </row>
    <row r="11" spans="1:15" ht="44.25" customHeight="1">
      <c r="A11" s="111"/>
      <c r="B11" s="83" t="s">
        <v>69</v>
      </c>
      <c r="C11" s="77">
        <v>10</v>
      </c>
      <c r="D11" s="77">
        <v>8</v>
      </c>
      <c r="E11" s="77"/>
      <c r="F11" s="74">
        <v>2</v>
      </c>
    </row>
    <row r="13" spans="1:15" ht="26.25">
      <c r="H13" s="128" t="s">
        <v>4</v>
      </c>
      <c r="I13" s="128"/>
      <c r="J13" s="128"/>
      <c r="K13" s="128"/>
      <c r="L13" s="128"/>
      <c r="M13" s="128"/>
      <c r="N13" s="128"/>
      <c r="O13" s="128"/>
    </row>
    <row r="14" spans="1:15" ht="178.5">
      <c r="H14" s="4" t="s">
        <v>22</v>
      </c>
      <c r="I14" s="4" t="s">
        <v>23</v>
      </c>
      <c r="J14" s="4" t="s">
        <v>24</v>
      </c>
      <c r="K14" s="4" t="s">
        <v>59</v>
      </c>
      <c r="L14" s="4" t="s">
        <v>58</v>
      </c>
      <c r="M14" s="4" t="s">
        <v>57</v>
      </c>
      <c r="N14" s="4" t="s">
        <v>25</v>
      </c>
      <c r="O14" s="4" t="s">
        <v>49</v>
      </c>
    </row>
    <row r="15" spans="1:15" ht="26.25">
      <c r="G15" t="s">
        <v>66</v>
      </c>
      <c r="H15" s="107">
        <v>2</v>
      </c>
      <c r="I15" s="107">
        <v>3</v>
      </c>
      <c r="J15" s="107">
        <v>6</v>
      </c>
      <c r="K15" s="107">
        <v>0</v>
      </c>
      <c r="L15" s="107">
        <v>0</v>
      </c>
      <c r="M15" s="107">
        <v>1</v>
      </c>
      <c r="N15" s="107">
        <v>0</v>
      </c>
      <c r="O15" s="107">
        <v>4</v>
      </c>
    </row>
    <row r="16" spans="1:15" ht="26.25">
      <c r="G16" t="s">
        <v>65</v>
      </c>
      <c r="H16" s="107">
        <v>29</v>
      </c>
      <c r="I16" s="107">
        <v>21</v>
      </c>
      <c r="J16" s="107">
        <v>27</v>
      </c>
      <c r="K16" s="107">
        <v>4</v>
      </c>
      <c r="L16" s="107">
        <v>4</v>
      </c>
      <c r="M16" s="107">
        <v>1</v>
      </c>
      <c r="N16" s="107">
        <v>2</v>
      </c>
      <c r="O16" s="107">
        <v>2</v>
      </c>
    </row>
    <row r="28" spans="6:15" ht="150">
      <c r="G28" s="24" t="s">
        <v>50</v>
      </c>
      <c r="H28" s="24" t="s">
        <v>51</v>
      </c>
      <c r="I28" s="24" t="s">
        <v>15</v>
      </c>
      <c r="J28" s="24" t="s">
        <v>16</v>
      </c>
      <c r="K28" s="24" t="s">
        <v>17</v>
      </c>
      <c r="L28" s="24" t="s">
        <v>18</v>
      </c>
      <c r="M28" s="24" t="s">
        <v>19</v>
      </c>
      <c r="N28" s="24" t="s">
        <v>20</v>
      </c>
      <c r="O28" s="24" t="s">
        <v>21</v>
      </c>
    </row>
    <row r="29" spans="6:15">
      <c r="F29" t="s">
        <v>66</v>
      </c>
      <c r="G29">
        <v>15</v>
      </c>
      <c r="H29">
        <v>2</v>
      </c>
      <c r="I29">
        <v>14</v>
      </c>
      <c r="J29">
        <v>30</v>
      </c>
      <c r="K29">
        <v>25</v>
      </c>
      <c r="L29">
        <v>8</v>
      </c>
      <c r="M29">
        <v>0</v>
      </c>
      <c r="N29">
        <v>1</v>
      </c>
      <c r="O29">
        <v>0</v>
      </c>
    </row>
    <row r="30" spans="6:15">
      <c r="F30" t="s">
        <v>65</v>
      </c>
      <c r="G30">
        <v>12</v>
      </c>
      <c r="H30">
        <v>1</v>
      </c>
      <c r="I30">
        <v>12</v>
      </c>
      <c r="J30">
        <v>25</v>
      </c>
      <c r="K30">
        <v>25</v>
      </c>
      <c r="L30">
        <v>6</v>
      </c>
      <c r="M30">
        <v>0</v>
      </c>
      <c r="N30">
        <v>1</v>
      </c>
      <c r="O30">
        <v>0</v>
      </c>
    </row>
    <row r="47" spans="1:8" ht="26.25">
      <c r="A47" s="128" t="s">
        <v>4</v>
      </c>
      <c r="B47" s="128"/>
      <c r="C47" s="128"/>
      <c r="D47" s="128"/>
      <c r="E47" s="128"/>
      <c r="F47" s="128"/>
      <c r="G47" s="128"/>
      <c r="H47" s="128"/>
    </row>
    <row r="48" spans="1:8" ht="178.5">
      <c r="A48" s="4" t="s">
        <v>22</v>
      </c>
      <c r="B48" s="4" t="s">
        <v>23</v>
      </c>
      <c r="C48" s="4" t="s">
        <v>24</v>
      </c>
      <c r="D48" s="4" t="s">
        <v>59</v>
      </c>
      <c r="E48" s="4" t="s">
        <v>58</v>
      </c>
      <c r="F48" s="4" t="s">
        <v>57</v>
      </c>
      <c r="G48" s="4" t="s">
        <v>25</v>
      </c>
      <c r="H48" s="4" t="s">
        <v>49</v>
      </c>
    </row>
    <row r="49" spans="1:8">
      <c r="A49">
        <v>27</v>
      </c>
      <c r="B49">
        <v>18</v>
      </c>
      <c r="C49">
        <v>25</v>
      </c>
      <c r="D49">
        <v>3</v>
      </c>
      <c r="E49">
        <v>4</v>
      </c>
      <c r="F49">
        <v>1</v>
      </c>
      <c r="G49">
        <v>2</v>
      </c>
      <c r="H49">
        <v>2</v>
      </c>
    </row>
    <row r="70" spans="1:9" ht="148.5">
      <c r="A70" s="24" t="s">
        <v>50</v>
      </c>
      <c r="B70" s="24" t="s">
        <v>51</v>
      </c>
      <c r="C70" s="24" t="s">
        <v>15</v>
      </c>
      <c r="D70" s="24" t="s">
        <v>16</v>
      </c>
      <c r="E70" s="24" t="s">
        <v>17</v>
      </c>
      <c r="F70" s="24" t="s">
        <v>18</v>
      </c>
      <c r="G70" s="24" t="s">
        <v>19</v>
      </c>
      <c r="H70" s="24" t="s">
        <v>20</v>
      </c>
      <c r="I70" s="24" t="s">
        <v>21</v>
      </c>
    </row>
    <row r="71" spans="1:9">
      <c r="A71">
        <v>12</v>
      </c>
      <c r="B71">
        <v>1</v>
      </c>
      <c r="C71">
        <v>12</v>
      </c>
      <c r="D71">
        <v>25</v>
      </c>
      <c r="E71">
        <v>25</v>
      </c>
      <c r="F71">
        <v>6</v>
      </c>
      <c r="G71">
        <v>0</v>
      </c>
      <c r="H71">
        <v>1</v>
      </c>
      <c r="I71">
        <v>0</v>
      </c>
    </row>
    <row r="91" spans="1:6">
      <c r="A91" s="120"/>
      <c r="B91" s="121"/>
      <c r="C91" s="123"/>
    </row>
    <row r="92" spans="1:6">
      <c r="A92" s="120"/>
      <c r="B92" s="121"/>
      <c r="C92" s="123"/>
    </row>
    <row r="93" spans="1:6">
      <c r="A93" s="122"/>
      <c r="B93" s="121"/>
      <c r="C93" s="123"/>
    </row>
    <row r="94" spans="1:6" ht="28.5">
      <c r="A94" s="111"/>
      <c r="B94" s="73"/>
      <c r="C94" s="74"/>
    </row>
    <row r="95" spans="1:6" ht="28.5">
      <c r="A95" s="111"/>
      <c r="B95" s="75"/>
      <c r="C95" s="74"/>
      <c r="E95" s="73" t="s">
        <v>67</v>
      </c>
      <c r="F95" s="74">
        <v>23</v>
      </c>
    </row>
    <row r="96" spans="1:6" ht="28.5">
      <c r="A96" s="111"/>
      <c r="B96" s="83"/>
      <c r="C96" s="84"/>
      <c r="E96" s="76" t="s">
        <v>68</v>
      </c>
      <c r="F96" s="77">
        <v>46</v>
      </c>
    </row>
    <row r="97" spans="5:12" ht="28.5">
      <c r="E97" s="83" t="s">
        <v>69</v>
      </c>
      <c r="F97" s="84">
        <v>13</v>
      </c>
    </row>
    <row r="106" spans="5:12" ht="28.5" customHeight="1">
      <c r="J106" s="111"/>
      <c r="K106" s="144" t="s">
        <v>67</v>
      </c>
      <c r="L106" s="144">
        <v>27</v>
      </c>
    </row>
    <row r="107" spans="5:12" ht="28.5" customHeight="1">
      <c r="J107" s="111"/>
      <c r="K107" s="145"/>
      <c r="L107" s="145"/>
    </row>
    <row r="108" spans="5:12" ht="23.25">
      <c r="J108" s="111"/>
      <c r="K108" s="146" t="s">
        <v>68</v>
      </c>
      <c r="L108" s="146">
        <v>52</v>
      </c>
    </row>
    <row r="109" spans="5:12" ht="23.25">
      <c r="J109" s="111"/>
      <c r="K109" s="146" t="s">
        <v>69</v>
      </c>
      <c r="L109" s="146">
        <v>15</v>
      </c>
    </row>
  </sheetData>
  <mergeCells count="19">
    <mergeCell ref="J106:J109"/>
    <mergeCell ref="K106:K107"/>
    <mergeCell ref="L106:L107"/>
    <mergeCell ref="A47:H47"/>
    <mergeCell ref="A91:B93"/>
    <mergeCell ref="C91:C93"/>
    <mergeCell ref="A94:A96"/>
    <mergeCell ref="D1:D3"/>
    <mergeCell ref="F1:F3"/>
    <mergeCell ref="H13:O13"/>
    <mergeCell ref="B4:B5"/>
    <mergeCell ref="C4:C5"/>
    <mergeCell ref="D4:D5"/>
    <mergeCell ref="C8:C9"/>
    <mergeCell ref="B8:B9"/>
    <mergeCell ref="A1:B3"/>
    <mergeCell ref="C1:C3"/>
    <mergeCell ref="A4:A7"/>
    <mergeCell ref="A8:A11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D14"/>
    </sheetView>
  </sheetViews>
  <sheetFormatPr defaultRowHeight="15"/>
  <cols>
    <col min="1" max="1" width="23.28515625" customWidth="1"/>
    <col min="2" max="2" width="19.5703125" customWidth="1"/>
    <col min="3" max="3" width="46.42578125" customWidth="1"/>
    <col min="4" max="4" width="51.42578125" bestFit="1" customWidth="1"/>
    <col min="5" max="5" width="63.5703125" customWidth="1"/>
  </cols>
  <sheetData>
    <row r="1" spans="1:5">
      <c r="A1" s="120" t="s">
        <v>44</v>
      </c>
      <c r="B1" s="121"/>
      <c r="C1" s="135" t="s">
        <v>72</v>
      </c>
      <c r="D1" s="135" t="s">
        <v>71</v>
      </c>
      <c r="E1" s="135" t="s">
        <v>73</v>
      </c>
    </row>
    <row r="2" spans="1:5">
      <c r="A2" s="120"/>
      <c r="B2" s="121"/>
      <c r="C2" s="135"/>
      <c r="D2" s="135"/>
      <c r="E2" s="135"/>
    </row>
    <row r="3" spans="1:5" ht="20.25" customHeight="1">
      <c r="A3" s="122"/>
      <c r="B3" s="121"/>
      <c r="C3" s="135"/>
      <c r="D3" s="135"/>
      <c r="E3" s="135"/>
    </row>
    <row r="4" spans="1:5" ht="28.5">
      <c r="A4" s="111" t="s">
        <v>26</v>
      </c>
      <c r="B4" s="73" t="s">
        <v>27</v>
      </c>
      <c r="C4" s="74">
        <v>3</v>
      </c>
      <c r="D4" s="74">
        <v>1</v>
      </c>
      <c r="E4" s="74">
        <v>2</v>
      </c>
    </row>
    <row r="5" spans="1:5" ht="28.5">
      <c r="A5" s="111"/>
      <c r="B5" s="75" t="s">
        <v>28</v>
      </c>
      <c r="C5" s="74">
        <v>6</v>
      </c>
      <c r="D5" s="74">
        <v>4</v>
      </c>
      <c r="E5" s="74">
        <v>2</v>
      </c>
    </row>
    <row r="6" spans="1:5" ht="28.5">
      <c r="A6" s="111"/>
      <c r="B6" s="76" t="s">
        <v>29</v>
      </c>
      <c r="C6" s="77">
        <v>5</v>
      </c>
      <c r="D6" s="77">
        <v>9</v>
      </c>
      <c r="E6" s="74">
        <v>4</v>
      </c>
    </row>
    <row r="7" spans="1:5" ht="28.5">
      <c r="A7" s="111"/>
      <c r="B7" s="83" t="s">
        <v>30</v>
      </c>
      <c r="C7" s="84">
        <v>5</v>
      </c>
      <c r="D7" s="84">
        <v>3</v>
      </c>
      <c r="E7" s="74">
        <v>2</v>
      </c>
    </row>
    <row r="8" spans="1:5" ht="51" customHeight="1">
      <c r="A8" s="112" t="s">
        <v>45</v>
      </c>
      <c r="B8" s="112"/>
      <c r="C8" s="108">
        <f t="shared" ref="C8" si="0">SUM(C4:C7)</f>
        <v>19</v>
      </c>
      <c r="D8" s="108">
        <f t="shared" ref="D8" si="1">SUM(D4:D7)</f>
        <v>17</v>
      </c>
      <c r="E8" s="108">
        <f>SUM(E4:E7)</f>
        <v>10</v>
      </c>
    </row>
    <row r="9" spans="1:5" ht="28.5">
      <c r="A9" s="111" t="s">
        <v>31</v>
      </c>
      <c r="B9" s="73" t="s">
        <v>27</v>
      </c>
      <c r="C9" s="74">
        <v>8</v>
      </c>
      <c r="D9" s="74">
        <v>16</v>
      </c>
      <c r="E9" s="74">
        <v>8</v>
      </c>
    </row>
    <row r="10" spans="1:5" ht="28.5">
      <c r="A10" s="111"/>
      <c r="B10" s="75" t="s">
        <v>28</v>
      </c>
      <c r="C10" s="74">
        <v>6</v>
      </c>
      <c r="D10" s="74">
        <v>6</v>
      </c>
      <c r="E10" s="74">
        <v>0</v>
      </c>
    </row>
    <row r="11" spans="1:5" ht="28.5">
      <c r="A11" s="111"/>
      <c r="B11" s="76" t="s">
        <v>29</v>
      </c>
      <c r="C11" s="77">
        <v>41</v>
      </c>
      <c r="D11" s="77">
        <v>43</v>
      </c>
      <c r="E11" s="74">
        <v>2</v>
      </c>
    </row>
    <row r="12" spans="1:5" ht="28.5">
      <c r="A12" s="111"/>
      <c r="B12" s="83" t="s">
        <v>30</v>
      </c>
      <c r="C12" s="77">
        <v>8</v>
      </c>
      <c r="D12" s="77">
        <v>12</v>
      </c>
      <c r="E12" s="74">
        <v>4</v>
      </c>
    </row>
    <row r="13" spans="1:5" ht="54" customHeight="1">
      <c r="A13" s="113" t="s">
        <v>46</v>
      </c>
      <c r="B13" s="113"/>
      <c r="C13" s="109">
        <f t="shared" ref="C13" si="2">SUM(C9:C12)</f>
        <v>63</v>
      </c>
      <c r="D13" s="109">
        <f t="shared" ref="D13" si="3">SUM(D9:D12)</f>
        <v>77</v>
      </c>
      <c r="E13" s="109">
        <f>SUM(E9:E12)</f>
        <v>14</v>
      </c>
    </row>
    <row r="14" spans="1:5" ht="31.5">
      <c r="A14" s="115" t="s">
        <v>54</v>
      </c>
      <c r="B14" s="115"/>
      <c r="C14" s="99">
        <f>C8+C13</f>
        <v>82</v>
      </c>
      <c r="D14" s="99">
        <f>D8+D13</f>
        <v>94</v>
      </c>
      <c r="E14" s="99">
        <v>24</v>
      </c>
    </row>
  </sheetData>
  <mergeCells count="9">
    <mergeCell ref="A14:B14"/>
    <mergeCell ref="C1:C3"/>
    <mergeCell ref="E1:E3"/>
    <mergeCell ref="A1:B3"/>
    <mergeCell ref="D1:D3"/>
    <mergeCell ref="A4:A7"/>
    <mergeCell ref="A8:B8"/>
    <mergeCell ref="A9:A12"/>
    <mergeCell ref="A13:B1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T23" sqref="T23"/>
    </sheetView>
  </sheetViews>
  <sheetFormatPr defaultRowHeight="15"/>
  <sheetData>
    <row r="1" spans="1:9" ht="131.25">
      <c r="A1" s="107" t="s">
        <v>22</v>
      </c>
      <c r="B1" s="107" t="s">
        <v>23</v>
      </c>
      <c r="C1" s="107" t="s">
        <v>24</v>
      </c>
      <c r="D1" s="107" t="s">
        <v>59</v>
      </c>
      <c r="E1" s="107" t="s">
        <v>58</v>
      </c>
      <c r="F1" s="107" t="s">
        <v>57</v>
      </c>
      <c r="G1" s="107" t="s">
        <v>25</v>
      </c>
      <c r="H1" s="107" t="s">
        <v>49</v>
      </c>
    </row>
    <row r="2" spans="1:9" ht="26.25">
      <c r="A2" s="107">
        <v>30</v>
      </c>
      <c r="B2" s="107">
        <v>13</v>
      </c>
      <c r="C2" s="107">
        <v>28</v>
      </c>
      <c r="D2" s="107">
        <v>6</v>
      </c>
      <c r="E2" s="107">
        <v>8</v>
      </c>
      <c r="F2" s="107">
        <v>1</v>
      </c>
      <c r="G2" s="107">
        <v>3</v>
      </c>
      <c r="H2" s="107">
        <v>5</v>
      </c>
    </row>
    <row r="8" spans="1:9" ht="90.75">
      <c r="A8" s="24" t="s">
        <v>50</v>
      </c>
      <c r="B8" s="24" t="s">
        <v>51</v>
      </c>
      <c r="C8" s="24" t="s">
        <v>15</v>
      </c>
      <c r="D8" s="24" t="s">
        <v>16</v>
      </c>
      <c r="E8" s="24" t="s">
        <v>17</v>
      </c>
      <c r="F8" s="24" t="s">
        <v>18</v>
      </c>
      <c r="G8" s="24" t="s">
        <v>19</v>
      </c>
      <c r="H8" s="24" t="s">
        <v>20</v>
      </c>
      <c r="I8" s="24" t="s">
        <v>21</v>
      </c>
    </row>
    <row r="9" spans="1:9" ht="29.25">
      <c r="A9" s="24">
        <v>19</v>
      </c>
      <c r="B9" s="24">
        <v>0</v>
      </c>
      <c r="C9" s="24">
        <v>9</v>
      </c>
      <c r="D9" s="24">
        <v>32</v>
      </c>
      <c r="E9" s="24">
        <v>26</v>
      </c>
      <c r="F9" s="24">
        <v>7</v>
      </c>
      <c r="G9" s="24">
        <v>1</v>
      </c>
      <c r="H9" s="24">
        <v>0</v>
      </c>
      <c r="I9" s="24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selection activeCell="K18" sqref="K18:S19"/>
    </sheetView>
  </sheetViews>
  <sheetFormatPr defaultRowHeight="15"/>
  <cols>
    <col min="1" max="1" width="30.85546875" customWidth="1"/>
    <col min="2" max="2" width="19.7109375" customWidth="1"/>
    <col min="3" max="3" width="25" customWidth="1"/>
  </cols>
  <sheetData>
    <row r="1" spans="1:3" ht="15" customHeight="1">
      <c r="A1" s="141"/>
      <c r="B1" s="135" t="s">
        <v>72</v>
      </c>
      <c r="C1" s="135" t="s">
        <v>71</v>
      </c>
    </row>
    <row r="2" spans="1:3" ht="15" customHeight="1">
      <c r="A2" s="142"/>
      <c r="B2" s="135"/>
      <c r="C2" s="135"/>
    </row>
    <row r="3" spans="1:3">
      <c r="A3" s="143"/>
      <c r="B3" s="135"/>
      <c r="C3" s="135"/>
    </row>
    <row r="4" spans="1:3" ht="28.5" customHeight="1">
      <c r="A4" s="73" t="s">
        <v>67</v>
      </c>
      <c r="B4" s="74">
        <v>23</v>
      </c>
      <c r="C4" s="74">
        <v>26</v>
      </c>
    </row>
    <row r="5" spans="1:3" ht="28.5">
      <c r="A5" s="76" t="s">
        <v>68</v>
      </c>
      <c r="B5" s="77">
        <v>46</v>
      </c>
      <c r="C5" s="77">
        <v>53</v>
      </c>
    </row>
    <row r="6" spans="1:3" ht="28.5">
      <c r="A6" s="83" t="s">
        <v>69</v>
      </c>
      <c r="B6" s="84">
        <v>13</v>
      </c>
      <c r="C6" s="84">
        <v>15</v>
      </c>
    </row>
    <row r="17" spans="1:19">
      <c r="A17" s="147" t="s">
        <v>72</v>
      </c>
      <c r="B17" s="147"/>
      <c r="C17" s="147"/>
      <c r="D17" s="147"/>
      <c r="E17" s="147"/>
      <c r="F17" s="147"/>
      <c r="G17" s="147"/>
      <c r="H17" s="147"/>
      <c r="I17" s="147"/>
      <c r="K17" s="147" t="s">
        <v>71</v>
      </c>
      <c r="L17" s="147"/>
      <c r="M17" s="147"/>
      <c r="N17" s="147"/>
      <c r="O17" s="147"/>
      <c r="P17" s="147"/>
      <c r="Q17" s="147"/>
      <c r="R17" s="147"/>
      <c r="S17" s="147"/>
    </row>
    <row r="18" spans="1:19" ht="90">
      <c r="A18" s="24" t="s">
        <v>50</v>
      </c>
      <c r="B18" s="24" t="s">
        <v>51</v>
      </c>
      <c r="C18" s="24" t="s">
        <v>15</v>
      </c>
      <c r="D18" s="24" t="s">
        <v>16</v>
      </c>
      <c r="E18" s="24" t="s">
        <v>17</v>
      </c>
      <c r="F18" s="24" t="s">
        <v>18</v>
      </c>
      <c r="G18" s="24" t="s">
        <v>19</v>
      </c>
      <c r="H18" s="24" t="s">
        <v>20</v>
      </c>
      <c r="I18" s="24" t="s">
        <v>21</v>
      </c>
      <c r="K18" s="24" t="s">
        <v>50</v>
      </c>
      <c r="L18" s="24" t="s">
        <v>51</v>
      </c>
      <c r="M18" s="24" t="s">
        <v>15</v>
      </c>
      <c r="N18" s="24" t="s">
        <v>16</v>
      </c>
      <c r="O18" s="24" t="s">
        <v>17</v>
      </c>
      <c r="P18" s="24" t="s">
        <v>18</v>
      </c>
      <c r="Q18" s="24" t="s">
        <v>19</v>
      </c>
      <c r="R18" s="24" t="s">
        <v>20</v>
      </c>
      <c r="S18" s="24" t="s">
        <v>21</v>
      </c>
    </row>
    <row r="19" spans="1:19" ht="29.25">
      <c r="A19" s="24">
        <v>12</v>
      </c>
      <c r="B19" s="24">
        <v>1</v>
      </c>
      <c r="C19" s="24">
        <v>12</v>
      </c>
      <c r="D19" s="24">
        <v>25</v>
      </c>
      <c r="E19" s="24">
        <v>25</v>
      </c>
      <c r="F19" s="24">
        <v>6</v>
      </c>
      <c r="G19" s="24">
        <v>0</v>
      </c>
      <c r="H19" s="24">
        <v>1</v>
      </c>
      <c r="I19" s="24">
        <v>0</v>
      </c>
      <c r="K19" s="24">
        <v>19</v>
      </c>
      <c r="L19" s="24">
        <v>0</v>
      </c>
      <c r="M19" s="24">
        <v>9</v>
      </c>
      <c r="N19" s="24">
        <v>32</v>
      </c>
      <c r="O19" s="24">
        <v>26</v>
      </c>
      <c r="P19" s="24">
        <v>7</v>
      </c>
      <c r="Q19" s="24">
        <v>1</v>
      </c>
      <c r="R19" s="24">
        <v>0</v>
      </c>
      <c r="S19" s="24">
        <v>0</v>
      </c>
    </row>
  </sheetData>
  <mergeCells count="5">
    <mergeCell ref="A1:A3"/>
    <mergeCell ref="A17:I17"/>
    <mergeCell ref="K17:S17"/>
    <mergeCell ref="B1:B3"/>
    <mergeCell ref="C1:C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tabSelected="1" topLeftCell="A56" zoomScale="85" zoomScaleNormal="85" workbookViewId="0">
      <selection activeCell="A69" sqref="A69:T73"/>
    </sheetView>
  </sheetViews>
  <sheetFormatPr defaultRowHeight="15"/>
  <cols>
    <col min="2" max="2" width="19.7109375" bestFit="1" customWidth="1"/>
    <col min="4" max="4" width="20.28515625" bestFit="1" customWidth="1"/>
    <col min="5" max="5" width="20.42578125" bestFit="1" customWidth="1"/>
  </cols>
  <sheetData>
    <row r="1" spans="2:18">
      <c r="B1" t="s">
        <v>72</v>
      </c>
      <c r="J1" t="s">
        <v>71</v>
      </c>
    </row>
    <row r="2" spans="2:18" ht="109.5">
      <c r="B2" s="24" t="s">
        <v>50</v>
      </c>
      <c r="C2" s="24" t="s">
        <v>51</v>
      </c>
      <c r="D2" s="24" t="s">
        <v>15</v>
      </c>
      <c r="E2" s="24" t="s">
        <v>16</v>
      </c>
      <c r="F2" s="24" t="s">
        <v>17</v>
      </c>
      <c r="G2" s="24" t="s">
        <v>18</v>
      </c>
      <c r="H2" s="24" t="s">
        <v>19</v>
      </c>
      <c r="I2" s="24" t="s">
        <v>20</v>
      </c>
      <c r="J2" s="24" t="s">
        <v>50</v>
      </c>
      <c r="K2" s="24" t="s">
        <v>51</v>
      </c>
      <c r="L2" s="24" t="s">
        <v>15</v>
      </c>
      <c r="M2" s="24" t="s">
        <v>16</v>
      </c>
      <c r="N2" s="24" t="s">
        <v>17</v>
      </c>
      <c r="O2" s="24" t="s">
        <v>18</v>
      </c>
      <c r="P2" s="24" t="s">
        <v>19</v>
      </c>
      <c r="Q2" s="24" t="s">
        <v>20</v>
      </c>
      <c r="R2" s="24" t="s">
        <v>21</v>
      </c>
    </row>
    <row r="3" spans="2:18" ht="29.25">
      <c r="B3" s="24">
        <v>12</v>
      </c>
      <c r="C3" s="24">
        <v>1</v>
      </c>
      <c r="D3" s="24">
        <v>12</v>
      </c>
      <c r="E3" s="24">
        <v>25</v>
      </c>
      <c r="F3" s="24">
        <v>25</v>
      </c>
      <c r="G3" s="24">
        <v>6</v>
      </c>
      <c r="H3" s="24">
        <v>0</v>
      </c>
      <c r="I3" s="24">
        <v>1</v>
      </c>
      <c r="J3" s="24">
        <v>19</v>
      </c>
      <c r="K3" s="24">
        <v>0</v>
      </c>
      <c r="L3" s="24">
        <v>9</v>
      </c>
      <c r="M3" s="24">
        <v>32</v>
      </c>
      <c r="N3" s="24">
        <v>26</v>
      </c>
      <c r="O3" s="24">
        <v>7</v>
      </c>
      <c r="P3" s="24">
        <v>1</v>
      </c>
      <c r="Q3" s="24">
        <v>0</v>
      </c>
      <c r="R3" s="24">
        <v>0</v>
      </c>
    </row>
    <row r="16" spans="2:18" ht="26.25">
      <c r="B16" s="128" t="s">
        <v>4</v>
      </c>
      <c r="C16" s="128"/>
      <c r="D16" s="128"/>
      <c r="E16" s="128"/>
      <c r="F16" s="128"/>
      <c r="G16" s="128"/>
      <c r="H16" s="128"/>
      <c r="I16" s="128"/>
    </row>
    <row r="17" spans="2:18" ht="180">
      <c r="B17" s="4" t="s">
        <v>22</v>
      </c>
      <c r="C17" s="4" t="s">
        <v>23</v>
      </c>
      <c r="D17" s="4" t="s">
        <v>24</v>
      </c>
      <c r="E17" s="4" t="s">
        <v>59</v>
      </c>
      <c r="F17" s="4" t="s">
        <v>58</v>
      </c>
      <c r="G17" s="4" t="s">
        <v>57</v>
      </c>
      <c r="H17" s="4" t="s">
        <v>25</v>
      </c>
      <c r="I17" s="4" t="s">
        <v>49</v>
      </c>
    </row>
    <row r="18" spans="2:18">
      <c r="B18">
        <v>27</v>
      </c>
      <c r="C18">
        <v>18</v>
      </c>
      <c r="D18">
        <v>25</v>
      </c>
      <c r="E18">
        <v>3</v>
      </c>
      <c r="F18">
        <v>4</v>
      </c>
      <c r="G18">
        <v>1</v>
      </c>
      <c r="H18">
        <v>2</v>
      </c>
      <c r="I18">
        <v>2</v>
      </c>
    </row>
    <row r="20" spans="2:18">
      <c r="K20">
        <v>30</v>
      </c>
      <c r="L20">
        <v>13</v>
      </c>
      <c r="M20">
        <v>28</v>
      </c>
      <c r="N20">
        <v>6</v>
      </c>
      <c r="O20">
        <v>8</v>
      </c>
      <c r="P20">
        <v>1</v>
      </c>
      <c r="Q20">
        <v>3</v>
      </c>
      <c r="R20">
        <v>5</v>
      </c>
    </row>
    <row r="21" spans="2:18">
      <c r="D21" t="s">
        <v>72</v>
      </c>
      <c r="E21" t="s">
        <v>71</v>
      </c>
    </row>
    <row r="22" spans="2:18" ht="54" customHeight="1">
      <c r="C22" s="4" t="s">
        <v>22</v>
      </c>
      <c r="D22">
        <v>27</v>
      </c>
      <c r="E22">
        <v>30</v>
      </c>
    </row>
    <row r="23" spans="2:18" ht="31.5">
      <c r="C23" s="4" t="s">
        <v>23</v>
      </c>
      <c r="D23">
        <v>18</v>
      </c>
      <c r="E23">
        <v>13</v>
      </c>
    </row>
    <row r="24" spans="2:18" ht="47.25">
      <c r="C24" s="4" t="s">
        <v>24</v>
      </c>
      <c r="D24">
        <v>25</v>
      </c>
      <c r="E24">
        <v>28</v>
      </c>
    </row>
    <row r="25" spans="2:18" ht="114.75">
      <c r="C25" s="4" t="s">
        <v>59</v>
      </c>
      <c r="D25">
        <v>3</v>
      </c>
      <c r="E25">
        <v>6</v>
      </c>
    </row>
    <row r="26" spans="2:18" ht="153.75">
      <c r="C26" s="4" t="s">
        <v>58</v>
      </c>
      <c r="D26">
        <v>4</v>
      </c>
      <c r="E26">
        <v>8</v>
      </c>
    </row>
    <row r="27" spans="2:18" ht="156.75">
      <c r="C27" s="4" t="s">
        <v>57</v>
      </c>
      <c r="D27">
        <v>1</v>
      </c>
      <c r="E27">
        <v>1</v>
      </c>
    </row>
    <row r="28" spans="2:18" ht="83.25">
      <c r="C28" s="4" t="s">
        <v>25</v>
      </c>
      <c r="D28">
        <v>2</v>
      </c>
      <c r="E28">
        <v>3</v>
      </c>
    </row>
    <row r="29" spans="2:18" ht="180">
      <c r="C29" s="4" t="s">
        <v>49</v>
      </c>
      <c r="D29">
        <v>2</v>
      </c>
      <c r="E29">
        <v>5</v>
      </c>
    </row>
    <row r="60" spans="1:17">
      <c r="B60" s="147" t="s">
        <v>72</v>
      </c>
      <c r="C60" s="147"/>
      <c r="D60" s="147"/>
      <c r="E60" s="147"/>
      <c r="F60" s="147"/>
      <c r="G60" s="147"/>
      <c r="H60" s="147"/>
      <c r="I60" s="147"/>
      <c r="J60" s="147" t="s">
        <v>74</v>
      </c>
      <c r="K60" s="147"/>
      <c r="L60" s="147"/>
      <c r="M60" s="147"/>
      <c r="N60" s="147"/>
      <c r="O60" s="147"/>
      <c r="P60" s="147"/>
      <c r="Q60" s="148"/>
    </row>
    <row r="61" spans="1:17" ht="180">
      <c r="B61" s="4" t="s">
        <v>22</v>
      </c>
      <c r="C61" s="4" t="s">
        <v>23</v>
      </c>
      <c r="D61" s="4" t="s">
        <v>24</v>
      </c>
      <c r="E61" s="4" t="s">
        <v>59</v>
      </c>
      <c r="F61" s="4" t="s">
        <v>58</v>
      </c>
      <c r="G61" s="4" t="s">
        <v>57</v>
      </c>
      <c r="H61" s="4" t="s">
        <v>25</v>
      </c>
      <c r="I61" s="4" t="s">
        <v>49</v>
      </c>
      <c r="J61" s="4" t="s">
        <v>22</v>
      </c>
      <c r="K61" s="4" t="s">
        <v>23</v>
      </c>
      <c r="L61" s="4" t="s">
        <v>24</v>
      </c>
      <c r="M61" s="4" t="s">
        <v>59</v>
      </c>
      <c r="N61" s="4" t="s">
        <v>58</v>
      </c>
      <c r="O61" s="4" t="s">
        <v>57</v>
      </c>
      <c r="P61" s="4" t="s">
        <v>25</v>
      </c>
      <c r="Q61" s="4" t="s">
        <v>49</v>
      </c>
    </row>
    <row r="62" spans="1:17" ht="28.5">
      <c r="A62" t="s">
        <v>67</v>
      </c>
      <c r="B62" s="65">
        <v>6</v>
      </c>
      <c r="C62" s="65">
        <v>10</v>
      </c>
      <c r="D62" s="65">
        <v>5</v>
      </c>
      <c r="E62" s="65">
        <v>2</v>
      </c>
      <c r="F62" s="65">
        <v>0</v>
      </c>
      <c r="G62" s="65">
        <v>0</v>
      </c>
      <c r="H62" s="65">
        <v>0</v>
      </c>
      <c r="I62" s="66">
        <v>0</v>
      </c>
      <c r="J62" s="65">
        <v>7</v>
      </c>
      <c r="K62" s="65">
        <v>6</v>
      </c>
      <c r="L62" s="65">
        <v>13</v>
      </c>
      <c r="M62" s="65">
        <v>1</v>
      </c>
      <c r="N62" s="65">
        <v>0</v>
      </c>
      <c r="O62" s="65">
        <v>0</v>
      </c>
      <c r="P62" s="65">
        <v>0</v>
      </c>
      <c r="Q62" s="66">
        <v>0</v>
      </c>
    </row>
    <row r="63" spans="1:17" ht="28.5">
      <c r="A63" t="s">
        <v>68</v>
      </c>
      <c r="B63" s="82">
        <v>18</v>
      </c>
      <c r="C63" s="82">
        <v>4</v>
      </c>
      <c r="D63" s="82">
        <v>16</v>
      </c>
      <c r="E63" s="82">
        <v>1</v>
      </c>
      <c r="F63" s="82">
        <v>4</v>
      </c>
      <c r="G63" s="82">
        <v>0</v>
      </c>
      <c r="H63" s="82">
        <v>1</v>
      </c>
      <c r="I63" s="82">
        <v>2</v>
      </c>
      <c r="J63" s="82">
        <v>23</v>
      </c>
      <c r="K63" s="82">
        <v>2</v>
      </c>
      <c r="L63" s="82">
        <v>9</v>
      </c>
      <c r="M63" s="82">
        <v>5</v>
      </c>
      <c r="N63" s="82">
        <v>8</v>
      </c>
      <c r="O63" s="82">
        <v>0</v>
      </c>
      <c r="P63" s="82">
        <v>0</v>
      </c>
      <c r="Q63" s="82">
        <v>5</v>
      </c>
    </row>
    <row r="64" spans="1:17" ht="28.5">
      <c r="A64" t="s">
        <v>69</v>
      </c>
      <c r="B64" s="94">
        <v>3</v>
      </c>
      <c r="C64" s="94">
        <v>4</v>
      </c>
      <c r="D64" s="94">
        <v>4</v>
      </c>
      <c r="E64" s="94">
        <v>0</v>
      </c>
      <c r="F64" s="94">
        <v>0</v>
      </c>
      <c r="G64" s="94">
        <v>1</v>
      </c>
      <c r="H64" s="94">
        <v>1</v>
      </c>
      <c r="I64" s="66">
        <v>0</v>
      </c>
      <c r="J64" s="94">
        <v>0</v>
      </c>
      <c r="K64" s="94">
        <v>5</v>
      </c>
      <c r="L64" s="94">
        <v>6</v>
      </c>
      <c r="M64" s="94">
        <v>0</v>
      </c>
      <c r="N64" s="94">
        <v>0</v>
      </c>
      <c r="O64" s="94">
        <v>1</v>
      </c>
      <c r="P64" s="94">
        <v>3</v>
      </c>
      <c r="Q64" s="66">
        <v>0</v>
      </c>
    </row>
    <row r="65" spans="1:20" ht="28.5" customHeight="1"/>
    <row r="69" spans="1:20">
      <c r="B69" s="147" t="s">
        <v>72</v>
      </c>
      <c r="C69" s="147"/>
      <c r="D69" s="147"/>
      <c r="E69" s="147"/>
      <c r="F69" s="147"/>
      <c r="G69" s="147"/>
      <c r="H69" s="147"/>
      <c r="I69" s="147"/>
      <c r="J69" s="147"/>
      <c r="L69" s="147" t="s">
        <v>74</v>
      </c>
      <c r="M69" s="147"/>
      <c r="N69" s="147"/>
      <c r="O69" s="147"/>
      <c r="P69" s="147"/>
      <c r="Q69" s="147"/>
      <c r="R69" s="147"/>
      <c r="S69" s="147"/>
      <c r="T69" s="147"/>
    </row>
    <row r="70" spans="1:20" ht="109.5">
      <c r="B70" s="24" t="s">
        <v>50</v>
      </c>
      <c r="C70" s="24" t="s">
        <v>51</v>
      </c>
      <c r="D70" s="24" t="s">
        <v>15</v>
      </c>
      <c r="E70" s="24" t="s">
        <v>16</v>
      </c>
      <c r="F70" s="24" t="s">
        <v>17</v>
      </c>
      <c r="G70" s="24" t="s">
        <v>18</v>
      </c>
      <c r="H70" s="24" t="s">
        <v>19</v>
      </c>
      <c r="I70" s="24" t="s">
        <v>20</v>
      </c>
      <c r="J70" s="24" t="s">
        <v>21</v>
      </c>
      <c r="L70" s="24" t="s">
        <v>50</v>
      </c>
      <c r="M70" s="24" t="s">
        <v>51</v>
      </c>
      <c r="N70" s="24" t="s">
        <v>15</v>
      </c>
      <c r="O70" s="24" t="s">
        <v>16</v>
      </c>
      <c r="P70" s="24" t="s">
        <v>17</v>
      </c>
      <c r="Q70" s="24" t="s">
        <v>18</v>
      </c>
      <c r="R70" s="24" t="s">
        <v>19</v>
      </c>
      <c r="S70" s="24" t="s">
        <v>20</v>
      </c>
      <c r="T70" s="24" t="s">
        <v>21</v>
      </c>
    </row>
    <row r="71" spans="1:20" ht="28.5">
      <c r="A71" t="s">
        <v>67</v>
      </c>
      <c r="B71" s="64">
        <v>10</v>
      </c>
      <c r="C71" s="64">
        <v>0</v>
      </c>
      <c r="D71" s="64">
        <v>2</v>
      </c>
      <c r="E71" s="64">
        <v>8</v>
      </c>
      <c r="F71" s="64">
        <v>3</v>
      </c>
      <c r="G71" s="64">
        <v>0</v>
      </c>
      <c r="H71" s="64">
        <v>0</v>
      </c>
      <c r="I71" s="64">
        <v>0</v>
      </c>
      <c r="J71" s="64">
        <v>0</v>
      </c>
      <c r="L71" s="64">
        <v>10</v>
      </c>
      <c r="M71" s="64">
        <v>0</v>
      </c>
      <c r="N71" s="64">
        <v>1</v>
      </c>
      <c r="O71" s="64">
        <v>10</v>
      </c>
      <c r="P71" s="64">
        <v>2</v>
      </c>
      <c r="Q71" s="64">
        <v>3</v>
      </c>
      <c r="R71" s="64">
        <v>1</v>
      </c>
      <c r="S71" s="64">
        <v>0</v>
      </c>
      <c r="T71" s="64">
        <v>0</v>
      </c>
    </row>
    <row r="72" spans="1:20" ht="28.5">
      <c r="A72" t="s">
        <v>68</v>
      </c>
      <c r="B72" s="81">
        <v>0</v>
      </c>
      <c r="C72" s="81">
        <v>0</v>
      </c>
      <c r="D72" s="81">
        <v>8</v>
      </c>
      <c r="E72" s="81">
        <v>14</v>
      </c>
      <c r="F72" s="81">
        <v>20</v>
      </c>
      <c r="G72" s="81">
        <v>4</v>
      </c>
      <c r="H72" s="81">
        <v>0</v>
      </c>
      <c r="I72" s="81">
        <v>0</v>
      </c>
      <c r="J72" s="81">
        <v>0</v>
      </c>
      <c r="L72" s="81">
        <v>0</v>
      </c>
      <c r="M72" s="81">
        <v>0</v>
      </c>
      <c r="N72" s="81">
        <v>4</v>
      </c>
      <c r="O72" s="81">
        <v>21</v>
      </c>
      <c r="P72" s="81">
        <v>23</v>
      </c>
      <c r="Q72" s="81">
        <v>4</v>
      </c>
      <c r="R72" s="81">
        <v>0</v>
      </c>
      <c r="S72" s="81">
        <v>0</v>
      </c>
      <c r="T72" s="81">
        <v>0</v>
      </c>
    </row>
    <row r="73" spans="1:20" ht="28.5">
      <c r="A73" t="s">
        <v>69</v>
      </c>
      <c r="B73" s="93">
        <v>2</v>
      </c>
      <c r="C73" s="93">
        <v>1</v>
      </c>
      <c r="D73" s="93">
        <v>2</v>
      </c>
      <c r="E73" s="93">
        <v>3</v>
      </c>
      <c r="F73" s="93">
        <v>2</v>
      </c>
      <c r="G73" s="93">
        <v>2</v>
      </c>
      <c r="H73" s="93">
        <v>0</v>
      </c>
      <c r="I73" s="93">
        <v>1</v>
      </c>
      <c r="J73" s="93">
        <v>0</v>
      </c>
      <c r="L73" s="93">
        <v>9</v>
      </c>
      <c r="M73" s="93">
        <v>0</v>
      </c>
      <c r="N73" s="93">
        <v>4</v>
      </c>
      <c r="O73" s="93">
        <v>1</v>
      </c>
      <c r="P73" s="93">
        <v>1</v>
      </c>
      <c r="Q73" s="93">
        <v>0</v>
      </c>
      <c r="R73" s="93">
        <v>0</v>
      </c>
      <c r="S73" s="93">
        <v>0</v>
      </c>
      <c r="T73" s="93">
        <v>0</v>
      </c>
    </row>
  </sheetData>
  <mergeCells count="5">
    <mergeCell ref="B16:I16"/>
    <mergeCell ref="B60:I60"/>
    <mergeCell ref="J60:Q60"/>
    <mergeCell ref="B69:J69"/>
    <mergeCell ref="L69:T69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01st to 07th July 2026</vt:lpstr>
      <vt:lpstr>08th to 14th July 2026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Ansikha Shree</dc:creator>
  <cp:lastModifiedBy>Wellness</cp:lastModifiedBy>
  <cp:lastPrinted>2025-11-06T05:40:28Z</cp:lastPrinted>
  <dcterms:created xsi:type="dcterms:W3CDTF">2025-09-19T01:02:40Z</dcterms:created>
  <dcterms:modified xsi:type="dcterms:W3CDTF">2026-07-15T12:48:46Z</dcterms:modified>
</cp:coreProperties>
</file>